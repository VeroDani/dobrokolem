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k na to" sheetId="1" state="visible" r:id="rId3"/>
    <sheet name="Fronta" sheetId="2" state="visible" r:id="rId4"/>
    <sheet name="Návrhy pravidel" sheetId="3" state="visible" r:id="rId5"/>
  </sheets>
  <definedNames>
    <definedName function="false" hidden="true" localSheetId="1" name="_xlnm._FilterDatabase" vbProcedure="false">Fronta!$A$1:$N$52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<sst xmlns="http://schemas.openxmlformats.org/spreadsheetml/2006/main" count="607" uniqueCount="358">
  <si>
    <t xml:space="preserve">Fronta ke schválení · Ověřovatel v4 · 2. 10. 2026</t>
  </si>
  <si>
    <t xml:space="preserve">Agent prověřil 51 záznamů. Na stupni autonomie 1 schvaluješ každý výstup.</t>
  </si>
  <si>
    <t xml:space="preserve">1. Zapiš čas začátku a konce kontroly (níže). Měříme tím north star agentů: živé záznamy na hodinu tvého času.</t>
  </si>
  <si>
    <t xml:space="preserve">2. Jdi podle priority: A citlivé → B neshoda s ručním ověřením → C rozpory k rozhodnutí → D rutina.</t>
  </si>
  <si>
    <t xml:space="preserve">3. Ve žlutých sloupcích vyber Rozhodnutí. Při „Opravit“ vyplň správný status a jednou větou proč – z toho se agent učí.</t>
  </si>
  <si>
    <t xml:space="preserve">4. Záznamy D se stavem needs_check stačí hromadně schválit – půjdou do výzvy e-mailem.</t>
  </si>
  <si>
    <t xml:space="preserve">Začátek kontroly (hh:mm)</t>
  </si>
  <si>
    <t xml:space="preserve">Konec kontroly (hh:mm)</t>
  </si>
  <si>
    <t xml:space="preserve">Souhrn</t>
  </si>
  <si>
    <t xml:space="preserve">Záznamů ve frontě</t>
  </si>
  <si>
    <t xml:space="preserve">– priorita A (citlivé)</t>
  </si>
  <si>
    <t xml:space="preserve">– priorita B (neshoda s ručním ověřením)</t>
  </si>
  <si>
    <t xml:space="preserve">– priorita C (rozpory)</t>
  </si>
  <si>
    <t xml:space="preserve">– priorita D (rutina)</t>
  </si>
  <si>
    <t xml:space="preserve">Rozhodnuto</t>
  </si>
  <si>
    <t xml:space="preserve">Opraveno</t>
  </si>
  <si>
    <t xml:space="preserve">Míra oprav (cíl &lt; 10 %)</t>
  </si>
  <si>
    <t xml:space="preserve">Doba kontroly (min)</t>
  </si>
  <si>
    <t xml:space="preserve">Pozn.: časy zapiš ve tvaru 10:15.</t>
  </si>
  <si>
    <t xml:space="preserve">Priorita</t>
  </si>
  <si>
    <t xml:space="preserve">ID</t>
  </si>
  <si>
    <t xml:space="preserve">Název</t>
  </si>
  <si>
    <t xml:space="preserve">Status agenta</t>
  </si>
  <si>
    <t xml:space="preserve">Jistota</t>
  </si>
  <si>
    <t xml:space="preserve">Ruční ověření (1. 10.)</t>
  </si>
  <si>
    <t xml:space="preserve">Zjištění agenta</t>
  </si>
  <si>
    <t xml:space="preserve">Chybí</t>
  </si>
  <si>
    <t xml:space="preserve">Navržené změny</t>
  </si>
  <si>
    <t xml:space="preserve">Zdroje</t>
  </si>
  <si>
    <t xml:space="preserve">Poznámka pravé ruky</t>
  </si>
  <si>
    <t xml:space="preserve">Rozhodnutí PM</t>
  </si>
  <si>
    <t xml:space="preserve">Správný status</t>
  </si>
  <si>
    <t xml:space="preserve">Proč (1 věta)</t>
  </si>
  <si>
    <t xml:space="preserve">A</t>
  </si>
  <si>
    <t xml:space="preserve">P7-012</t>
  </si>
  <si>
    <t xml:space="preserve">Bytové družstvo Veletržní 17</t>
  </si>
  <si>
    <t xml:space="preserve">needs_check</t>
  </si>
  <si>
    <t xml:space="preserve">low</t>
  </si>
  <si>
    <t xml:space="preserve">Družstvo podle rejstříkových agregátorů existuje (IČO 26501848), ale web veletrzni17.cz je zastaralý (rámy, stanovy z roku 2001) a o společných prostorách ani sousedských aktivitách jsme nenašli doklad. Jde o soukromý bytový dům – doporučujeme ověřit u družstva aktuálnost a souhlas s uvedením v mapě.</t>
  </si>
  <si>
    <t xml:space="preserve">contact</t>
  </si>
  <si>
    <t xml:space="preserve">contact: web neobsahuje kontakt – vyžádat od družstva</t>
  </si>
  <si>
    <t xml:space="preserve">https://www.finmag.cz/obchodni-rejstrik/ares/26501848-bytove-druzstvo-veletrzni-17 – ARES agregátor: družstvo existuje (pouze existence) (checked 2026-10-02) | https://veletrzni17.cz/dokumenty/stanovy.html – stanovy z 26. 6. 2001, bez aktualit (checked 2026-10-02) | https://veletrzni17.cz/ – stránka na rámech bez obsahu a kontaktu (checked 2026-10-02) | web search „Veletržní 17“ praha7.cz/Hobulet – bez relevantních výsledků (checked 2026-10-02)</t>
  </si>
  <si>
    <t xml:space="preserve">Soukromý bytový dům – před zveřejněním na mapě potřeba souhlas (R-101).</t>
  </si>
  <si>
    <t xml:space="preserve">P7-013</t>
  </si>
  <si>
    <t xml:space="preserve">Včely na střeše (Miloš Vondruška)</t>
  </si>
  <si>
    <t xml:space="preserve">Včelín na střeše domu ve Veletržní ulici dokládá jen článek praha7.cz z 24. 8. 2022 a web vcelynastrese.cz nebyl dostupný; číslo domu 17 ani aktuální aktivitu jsme nepotvrdili. Jde o soukromou osobu – uvedení jména a nabídka prohlídek by měly mít doložený souhlas (R-101).</t>
  </si>
  <si>
    <t xml:space="preserve">p7_location: praha7.cz (2022) uvádí jen „Veletržní ulice“ – ověřit č. 17; ověřit souhlas chovatele se zveřejněním</t>
  </si>
  <si>
    <t xml:space="preserve">https://www.praha7.cz/kazdy-kvet-se-pocita/ – 24. 8. 2022: úl na střeše domu ve Veletržní ulici 11 let, odkaz vcelynastrese.cz (checked 2026-10-02) | https://zazitmestojinak.cz/misto/praha/praha-7/strossmayerovo-namesti/zazit-vcely-jinak – povídání o včelaření na holešovických střechách, nedatováno (checked 2026-10-02) | http://www.vcelynastrese.cz – nedostupné (timeout) (checked 2026-10-02) | web search Zažít včely jinak 2025/2026 – bez novějších zdrojů (checked 2026-10-02)</t>
  </si>
  <si>
    <t xml:space="preserve">Jmenovaný soukromý včelař – před zveřejněním souhlas (R-101).</t>
  </si>
  <si>
    <t xml:space="preserve">P7-015</t>
  </si>
  <si>
    <t xml:space="preserve">Holešovice Mothers</t>
  </si>
  <si>
    <t xml:space="preserve">Jde o facebookovou skupinu bez webu, aktivitu nelze automaticky ověřit (R-001, R-102). Záznam v průvodci je nevyplněný placeholder „(doplnit příběh…)“ a obsahuje soukromé telefonní číslo jednotlivkyně, které je nutné odstranit (R-005, R-101).</t>
  </si>
  <si>
    <t xml:space="preserve">operator; p7_location; contact; how_to_join; organiser</t>
  </si>
  <si>
    <t xml:space="preserve">odstranit jméno a soukromý telefon z textu (R-101); po ruční kontrole doplnit odkaz na FB skupinu jako kontakt; sloučit se záznamem „Holesovice Mothers (Prague 7)“ v kapitole Sociální sítě</t>
  </si>
  <si>
    <t xml:space="preserve">web search „Holešovice Mothers“ – žádný zdroj mimo Facebook (checked 2026-10-02)</t>
  </si>
  <si>
    <t xml:space="preserve">Průvodce obsahuje soukromé mobilní číslo jednotlivce (R-101). Před jakýmkoli dalším použitím odstranit.</t>
  </si>
  <si>
    <t xml:space="preserve">P7-024</t>
  </si>
  <si>
    <t xml:space="preserve">Sousedé Milady Horákové</t>
  </si>
  <si>
    <t xml:space="preserve">Skupina Sousedé Milady Horákové je stále uvedena na praha7.cz, ale funguje jen jako uzavřená facebooková skupina a za posledních 12 měsíců jsme nenašli žádný nezávislý doklad aktivity (R-001). V průvodci chybí kontakt a způsob zapojení; koordinátoři uvedení na webu MČ jsou soukromé osoby s osobními telefony, které nepřebíráme (R-101).</t>
  </si>
  <si>
    <t xml:space="preserve">operator; contact; how_to_join</t>
  </si>
  <si>
    <t xml:space="preserve">operator: neformální sousedská skupina (bez právní formy), podpora MČ Praha 7 – koordinátorka sousedských spolků; p7_location: okolí ulice Milady Horákové, Letná/Holešovice; contact: přes www.praha7.cz/sousedskespolky nebo koordinátorku sousedských spolků MČ (pracovní kontakt), ne osobní telefony; how_to_join: požádat o vstup do uzavřené FB skupiny odkazované z praha7.cz/sousedskespolky</t>
  </si>
  <si>
    <t xml:space="preserve">https://www.praha7.cz/sousedskespolky – skupina uvedena v seznamu sousedských spolků MČ, kontakt jen přes uzavřenou FB skupinu a koordinátory-soukromé osoby (telefony nepřebírány, R-101), bez data (checked 2026-10-02) | https://www.praha7.cz/volny-cas-prehled/sousedskespolkyprahy7/ – seznam 6 skupin, koordinátorka MČ Michaela Šormová, bez data (mapa 2021) (checked 2026-10-02) | https://www.praha7.cz/zazit-mesto-jinak-na-sedmicce/ – Zažít město jinak 21. 9. 2024 na 8 místech P7, sousedské skupiny jmenovitě neuvedeny (checked 2026-10-02) | WebSearch 'koordinátorka sousedských spolků Michaela Panko' – na praha7.cz nalezena jen Michaela Šormová, konflikt R-004 nepotvrzen (checked 2026-10-02)</t>
  </si>
  <si>
    <t xml:space="preserve">Web MČ uvádí u koordinátorů soukromé mobily. Do databáze nepřebírat; kontakt jen přes FB skupinu nebo MČ.</t>
  </si>
  <si>
    <t xml:space="preserve">P7-025</t>
  </si>
  <si>
    <t xml:space="preserve">Sousedé Janovského</t>
  </si>
  <si>
    <t xml:space="preserve">Skupina Sousedé Janovského je stále uvedena na praha7.cz, ale funguje jen jako uzavřená facebooková skupina a za posledních 12 měsíců jsme nenašli žádný nezávislý doklad aktivity (R-001). V průvodci chybí kontakt a způsob zapojení; koordinátoři uvedení na webu MČ jsou soukromé osoby s osobními telefony, které nepřebíráme (R-101).</t>
  </si>
  <si>
    <t xml:space="preserve">operator: neformální sousedská skupina (bez právní formy), podpora MČ Praha 7 – koordinátorka sousedských spolků; p7_location: okolí ulice Janovského, Holešovice; contact: přes www.praha7.cz/sousedskespolky nebo koordinátorku sousedských spolků MČ (pracovní kontakt), ne osobní telefony; how_to_join: požádat o vstup do uzavřené FB skupiny odkazované z praha7.cz/sousedskespolky</t>
  </si>
  <si>
    <t xml:space="preserve">https://www.praha7.cz/sousedskespolky – skupina uvedena v seznamu sousedských spolků MČ, kontakt jen přes uzavřenou FB skupinu a koordinátory-soukromé osoby (telefony nepřebírány, R-101), bez data (checked 2026-10-02) | https://www.praha7.cz/volny-cas-prehled/sousedskespolkyprahy7/ – seznam 6 skupin, koordinátorka MČ Michaela Šormová, bez data (mapa 2021) (checked 2026-10-02) | https://www.praha7.cz/zazit-mesto-jinak-na-sedmicce/ – Zažít město jinak 21. 9. 2024 na 8 místech P7, sousedské skupiny jmenovitě neuvedeny (checked 2026-10-02) | WebSearch 'koordinátorka sousedských spolků Michaela Panko' – na praha7.cz nalezena jen Michaela Šormová (checked 2026-10-02)</t>
  </si>
  <si>
    <t xml:space="preserve">P7-026</t>
  </si>
  <si>
    <t xml:space="preserve">Sousedé z Orteňáku</t>
  </si>
  <si>
    <t xml:space="preserve">Skupina Sousedé z Orteňáku je stále uvedena na praha7.cz, ale funguje jen jako uzavřená facebooková skupina a za posledních 12 měsíců jsme nenašli žádný nezávislý doklad aktivity (R-001). V průvodci chybí kontakt a způsob zapojení; koordinátoři uvedení na webu MČ jsou soukromé osoby s osobními telefony, které nepřebíráme (R-101).</t>
  </si>
  <si>
    <t xml:space="preserve">operator: neformální sousedská skupina (bez právní formy), podpora MČ Praha 7 – koordinátorka sousedských spolků; p7_location: okolí Ortenova náměstí, Holešovice; contact: přes www.praha7.cz/sousedskespolky nebo koordinátorku sousedských spolků MČ (pracovní kontakt), ne osobní telefony; how_to_join: požádat o vstup do uzavřené FB skupiny odkazované z praha7.cz/sousedskespolky</t>
  </si>
  <si>
    <t xml:space="preserve">https://www.praha7.cz/sousedskespolky – skupina uvedena v seznamu sousedských spolků MČ, kontakt jen přes uzavřenou FB skupinu a koordinátory-soukromé osoby (telefony nepřebírány, R-101), bez data (checked 2026-10-02) | https://www.praha7.cz/sousedske-slavnosti-na-sedmicce/ – Sousedé z Orteňáku pořádali slavnost na Ortenově nám. 16. 9. 2023 (starší než 12 měsíců) (checked 2026-10-02) | WebSearch 'Zažít město jinak 2026 Praha 7 Ortenovo náměstí' – lokalita existuje, organizátor 2025/2026 nedohledán (checked 2026-10-02) | https://zazitmestojinak.cz/zazitmestojinak.cz/locations_/praha/praha-7/ortenovo-namesti/ – 404 (checked 2026-10-02)</t>
  </si>
  <si>
    <t xml:space="preserve">P7-027</t>
  </si>
  <si>
    <t xml:space="preserve">Sousedé Osadní</t>
  </si>
  <si>
    <t xml:space="preserve">Skupina Sousedé Osadní je stále uvedena na praha7.cz, ale funguje jen jako uzavřená facebooková skupina a za posledních 12 měsíců jsme nenašli žádný nezávislý doklad aktivity (R-001). V průvodci chybí kontakt a způsob zapojení; koordinátoři uvedení na webu MČ jsou soukromé osoby s osobními telefony, které nepřebíráme (R-101).</t>
  </si>
  <si>
    <t xml:space="preserve">operator: neformální sousedská skupina (bez právní formy), podpora MČ Praha 7 – koordinátorka sousedských spolků; p7_location: okolí ulice Osadní, Holešovice; contact: přes www.praha7.cz/sousedskespolky nebo koordinátorku sousedských spolků MČ (pracovní kontakt), ne osobní telefony; how_to_join: požádat o vstup do uzavřené FB skupiny odkazované z praha7.cz/sousedskespolky</t>
  </si>
  <si>
    <t xml:space="preserve">https://www.praha7.cz/sousedskespolky – skupina uvedena v seznamu sousedských spolků MČ, kontakt jen přes uzavřenou FB skupinu a koordinátory-soukromé osoby (telefony nepřebírány, R-101), bez data (checked 2026-10-02) | https://www.praha7.cz/volny-cas-prehled/sousedskespolkyprahy7/ – seznam 6 skupin, koordinátorka MČ Michaela Šormová, bez data (mapa 2021) (checked 2026-10-02) | https://www.dcagora7.cz/listing/sousede-osadni/ – záznam v adresáři DC Agora 7 (Osadní 26), naposledy upraven 6. 2. 2023, nízká důvěra (checked 2026-10-02)</t>
  </si>
  <si>
    <t xml:space="preserve">P7-028</t>
  </si>
  <si>
    <t xml:space="preserve">Sousedé Na Maninách</t>
  </si>
  <si>
    <t xml:space="preserve">Skupina Sousedé Na Maninách je stále uvedena na praha7.cz, ale funguje jen jako uzavřená facebooková skupina a za posledních 12 měsíců jsme nenašli žádný nezávislý doklad aktivity (R-001). V průvodci chybí kontakt a způsob zapojení; koordinátoři uvedení na webu MČ jsou soukromé osoby s osobními telefony, které nepřebíráme (R-101).</t>
  </si>
  <si>
    <t xml:space="preserve">operator: neformální sousedská skupina (bez právní formy), podpora MČ Praha 7 – koordinátorka sousedských spolků; p7_location: okolí ulice Na Maninách, Holešovice; contact: přes www.praha7.cz/sousedskespolky nebo koordinátorku sousedských spolků MČ (pracovní kontakt), ne osobní telefony; how_to_join: požádat o vstup do uzavřené FB skupiny odkazované z praha7.cz/sousedskespolky</t>
  </si>
  <si>
    <t xml:space="preserve">https://www.praha7.cz/sousedskespolky – skupina uvedena v seznamu sousedských spolků MČ, kontakt jen přes uzavřenou FB skupinu a koordinátory-soukromé osoby (telefony nepřebírány, R-101), bez data (checked 2026-10-02) | https://www.praha7.cz/volny-cas-prehled/sousedskespolkyprahy7/ – seznam 6 skupin, koordinátorka MČ Michaela Šormová, bez data (mapa 2021) (checked 2026-10-02) | https://www.dcagora7.cz/listing/sousede-na-maninach/ – záznam v adresáři DC Agora 7, naposledy upraven 6. 2. 2023, nízká důvěra (checked 2026-10-02)</t>
  </si>
  <si>
    <t xml:space="preserve">P7-044</t>
  </si>
  <si>
    <t xml:space="preserve">Letenská parta</t>
  </si>
  <si>
    <t xml:space="preserve">Jde jen o facebookovou skupinu, aktivitu nelze automaticky ověřit (R-001); průvodce neuvádí odkaz ani jak se přidat. Pozor: skupina figurovala ve sporech kolem voleb 2022 (Reflex) – citlivé, posoudit PM.</t>
  </si>
  <si>
    <t xml:space="preserve">contact; how_to_join</t>
  </si>
  <si>
    <t xml:space="preserve">contact: doplnit odkaz na FB skupinu (ruční kontrola)</t>
  </si>
  <si>
    <t xml:space="preserve">https://www.reflex.cz/clanek/volby/103323/letenska-parta-vs-nemcova-volebni-kampan-mizi-z-ulic-za-kandidaty-se-hadaji-jejich-ultras.html – search result title only: group involved in 2022 election dispute (not opened) (checked 2026-10-02) | https://www.praha7.cz/volny-cas-prehled/sousedskespolkyprahy7/ – municipality names it as a large local FB group, undated (checked 2026-10-02)</t>
  </si>
  <si>
    <t xml:space="preserve">Agent narazil na zmínku o volebním sporu (2022) – politicky citlivé. Rozhodni, zda a jak skupinu uvádět.</t>
  </si>
  <si>
    <t xml:space="preserve">B</t>
  </si>
  <si>
    <t xml:space="preserve">P7-004</t>
  </si>
  <si>
    <t xml:space="preserve">Botanicula I.</t>
  </si>
  <si>
    <t xml:space="preserve">verified_changed</t>
  </si>
  <si>
    <t xml:space="preserve">Aktivitu za posledních 12 měsíců se nepodařilo doložit – weby Elpidy blokují automatický přístup a praha7.cz má o zahradě jen článek z let 2020/2021. Tvrzení „součástí centra Přístav 7“ a kontakt pristav7@elpida.cz je třeba ověřit, protože Přístav se přestěhoval a praha7.cz uvádí zahradu na adrese V Přístavu 10 se spoluprovozem NF Agora 7.</t>
  </si>
  <si>
    <t xml:space="preserve">operator; p7_location; how_to_join</t>
  </si>
  <si>
    <t xml:space="preserve">p7_location: V Přístavu 10, Praha 7 (praha7.cz 2021 – ověřit); operator: Elpida + Nadační fond Agora 7 (praha7.cz 2021 – ověřit); how_to_join: 11 vyvýšených záhonů, závazek pravidelné péče a měsíční organizační schůzky (praha7.cz 2021 – ověřit); contact: ověřit pristav7@ vs. pristav@elpida.cz</t>
  </si>
  <si>
    <t xml:space="preserve">https://www.praha7.cz/komunitni-zahrady-v-praze-7/ – Botanicula: Elpida + NF Agora 7, V Přístavu 10, 11 záhonů, pétanque; publikováno 15. 7. 2020, aktualizováno 1. 4. 2021 (checked 2026-10-02) | https://centrum.elpida.cz/web/kurz-3809 – jen titulek ve vyhledávání „Komunitní zahrada Botanicula 2024 – záhonky“ (checked 2026-10-02) | https://centrum.elpida.cz/web/kurz-6707 – titulek „Zahradnická poradna“, nedatováno; stránka nedostupná (robots.txt) (checked 2026-10-02) | https://www.elpida.cz/novinky/botanicula-misto-kde-se-pestuji-rostliny-a-vztahy – nedostupné (robots.txt) (checked 2026-10-02)</t>
  </si>
  <si>
    <t xml:space="preserve">Neshoda s ručním ověřením. Web Elpidy blokuje agenty; aktivitu potvrzuje Elpida/Přístav 7. Rychlá ruční kontrola.</t>
  </si>
  <si>
    <t xml:space="preserve">P7-014</t>
  </si>
  <si>
    <t xml:space="preserve">Rodinné centrum Letná</t>
  </si>
  <si>
    <t xml:space="preserve">Adresu Janovského 1349/24 potvrzuje praha7.cz, ale aktivitu za posledních 12 měsíců jsme nedoložili, protože web rcletna.cz nebyl automaticky dostupný (timeout). Chybí provozovatel a otevírací doba herny.</t>
  </si>
  <si>
    <t xml:space="preserve">operator; hours</t>
  </si>
  <si>
    <t xml:space="preserve">operator: Rodinné centrum Letná, z.s., IČO 26664879 (finmag – ověřit); p7_location: Janovského 1349/24, Praha 7 (praha7.cz)</t>
  </si>
  <si>
    <t xml:space="preserve">https://www.praha7.cz/potrebuji-zaridit/socialni-oblast/rodiny-a-deti/co-delat-ve-volnem-case/ – adresa Janovského 1349/24, herna, kurzy; nedatováno (checked 2026-10-02) | http://www.rcletna.cz/ – nedostupné (timeout); ve vyhledávání stránky Rozvrh, Kurzy, Letní prázdniny bez data (checked 2026-10-02) | https://www.finmag.cz/obchodni-rejstrik/26664879-rodinne-centrum-letna-z-s – spolek existuje (pouze existence, ze snippetu) (checked 2026-10-02)</t>
  </si>
  <si>
    <t xml:space="preserve">Neshoda s ručním ověřením. rcletna.cz blokuje agenty; výsledky hledání ukazují aktuální web s rozpisem herny. Rychlá ruční kontrola.</t>
  </si>
  <si>
    <t xml:space="preserve">P7-020</t>
  </si>
  <si>
    <t xml:space="preserve">MigAct</t>
  </si>
  <si>
    <t xml:space="preserve">Web migact.net funguje a MigAct je uveden jako partner integračního programu MČ Praha 7 (19. 5. 2025), ale datovanou aktivitu za 12 měsíců jsme nenašli a stránka „MigAct Meetups – Propojení Prahy 7“ vrací 404. Záznam je v průvodci pod nadpisem „(nutné doplnit)“ a chybí místo působení na Praze 7 (sídlo je v Praze 1, R-002).</t>
  </si>
  <si>
    <t xml:space="preserve">operator; p7_location</t>
  </si>
  <si>
    <t xml:space="preserve">operator: MigAct z.s., IČO 19843631 (agregátor – ověřit); contact: contact@migact.net (migact.net/team); p7_location: doplnit místo setkávání na Praze 7 (sídlo Revoluční 762/13, Praha 1 není místo působení); odstranit „(nutné doplnit)“ (R-005)</t>
  </si>
  <si>
    <t xml:space="preserve">https://migact.net/team/ – sídlo Praha 1, projekty na Praze 7 a 3, organizační e-mail, zmínka o školení 2025, © 2026 (checked 2026-10-02) | https://migact.net/cs/akce/migact-meetups-propojen%C3%AD-prahy-7/ – 404 (checked 2026-10-02) | https://cokdekdy.cz/vzdelavaci-program-a-networking-v-praze-7-pro-obyvatele/ – nedostupné (timeout) (checked 2026-10-02) | https://www.praha7.cz/praha-7-pokracuje-v-uspesnem-programu-integrace-cizincu/ – 19. 5. 2025: MigAct partnerem programu MČ (lookup u P7-021) (checked 2026-10-02) | web search „MigAct“ Praha 7 2026 – bez datovaných akcí (checked 2026-10-02)</t>
  </si>
  <si>
    <t xml:space="preserve">Agent pravděpodobně chybuje: MigAct na podzim 2026 vede s Agorou 7 a MČ vzdělávací program komunitních spojek na P7 (cokdekdy.cz, 9/2026) a web má © 2026. Návrh: verified_changed.</t>
  </si>
  <si>
    <t xml:space="preserve">P7-034</t>
  </si>
  <si>
    <t xml:space="preserve">Spolek rodičů při FZŠ Umělecká</t>
  </si>
  <si>
    <t xml:space="preserve">verified</t>
  </si>
  <si>
    <t xml:space="preserve">medium</t>
  </si>
  <si>
    <t xml:space="preserve">Spolek je aktivní – vlastní web má datované aktuality z 24. 10. 2025 až 10. 6. 2026 (mj. projekty podpořené MČ Praha 7). Průvodce odkazuje na fzsumelecka.cz/zs/spolek-rodicu, které se nepodařilo ověřit; spolek dnes používá vlastní web na Google Sites, a chybí způsob zapojení (členský příspěvek 300 Kč).</t>
  </si>
  <si>
    <t xml:space="preserve">how_to_join</t>
  </si>
  <si>
    <t xml:space="preserve">website: https://sites.google.com/view/rodice-fzsumelecka (odkaz z průvodce ověřit); contact: rodice.fzsumelecka@gmail.com (e-mail spolku); how_to_join: členství, příspěvek 300 Kč/rok; operator: Spolek rodičů při FZŠ Umělecká, IČO 17379661; text o „třech grantech v letošním školním roce“ je časově vázaný – aktualizovat</t>
  </si>
  <si>
    <t xml:space="preserve">https://sites.google.com/view/rodice-fzsumelecka/aktuality – datované aktuality 24. 10. 2025, 1. 4. 2026, 14. 4. 2026, 10. 6. 2026 (členská schůze), příspěvek 300 Kč, e-mail spolku (checked 2026-10-02) | https://www.fzsumelecka.cz/zs/spolek-rodicu – nenačteno (automatický přístup nepovolen), stránku vyhledávání neindexuje (checked 2026-10-02) | https://www.fzsumelecka.cz/pro-zaky-a-rodice – nenačteno (timeout) (checked 2026-10-02) | WebSearch – rejstřík IČO 17379661; škola se dnes jmenuje FZŠ PedF UK a MŠ U Studánky (checked 2026-10-02)</t>
  </si>
  <si>
    <t xml:space="preserve">Agent našel aktivitu, ruční ověření ne. Zkontroluj zdroj.</t>
  </si>
  <si>
    <t xml:space="preserve">P7-039</t>
  </si>
  <si>
    <t xml:space="preserve">Spolek rodičů Bratrská</t>
  </si>
  <si>
    <t xml:space="preserve">Spolek je aktivní – web školy uvádí Bratrskou kavárnu ve čtvrtek 24. 9. (2026) a výroční zprávy spolku za 2023/24 a 2024/25. V průvodci chybí, při které škole spolek působí (Bratrská škola, Rajská 300/3) a jak se přihlásit.</t>
  </si>
  <si>
    <t xml:space="preserve">p7_location; how_to_join</t>
  </si>
  <si>
    <t xml:space="preserve">p7_location: Bratrská škola – ZŠ Církve československé husitské, Rajská 300/3, 170 00 Praha 7; contact: spolekbratrska@seznam.cz (e-mail spolku); how_to_join: online přihláška na https://bratrska.cz/cs/spolek-rodicu; website: přesněji https://bratrska.cz/cs/spolek-rodicu</t>
  </si>
  <si>
    <t xml:space="preserve">https://bratrska.cz/cs/spolek-rodicu – stránka spolku: Bratrská kavárna čt 24. 9. (2026), výroční zprávy 2023/24 a 2024/25, online přihláška, e-mail spolku (checked 2026-10-02) | https://www.praha7.cz/vic-nez-jen-rodicovsky-spolek/ – spolek založen na podzim 2022, Martinská slavnost (21. 12. 2022) (checked 2026-10-02) | https://www.bratrska.cz – automatický přístup nepovolen (checked 2026-10-02)</t>
  </si>
  <si>
    <t xml:space="preserve">P7-041</t>
  </si>
  <si>
    <t xml:space="preserve">Informační centrum MČ Praha 7</t>
  </si>
  <si>
    <t xml:space="preserve">Infocentrum na Milady Horákové 691/2 je podle oficiální stránky MČ v provozu každý všední den (poslední datovaná zpráva: uzavření kvůli rekonstrukci 9.–27. 6. 2025); slouží hlavně pro Czech POINT, ověřování a parkovací oprávnění. Chybí přesné otevírací hodiny a kontakt.</t>
  </si>
  <si>
    <t xml:space="preserve">hours; contact</t>
  </si>
  <si>
    <t xml:space="preserve">hours: Po, St 7:30–12:00 a 13:00–15:00; Út, Čt 7:30–12:00 a 13:00–18:00; Pá 7:30–12:00 a 13:00–14:00; contact: podatelna@praha7.cz, tel. 220 144 111 (ústředna úřadu); services: ověřování listin a podpisů, Czech POINT, parkovací oprávnění, kopírování, informace o MČ</t>
  </si>
  <si>
    <t xml:space="preserve">https://www.praha7.cz/radnice/organizacni-struktura/odbor-spravnich-agend/oddeleni-sluzeb-obcanum/pracoviste-informacniho-centra-milady-horakove/ – oficiální stránka: adresa, otevírací doba, služby, bez data (checked 2026-10-02) | https://www.praha7.cz/uzavreni-infocentra-milady-horakove-2-po-dobu-rekonstrukce/ – uzavření 9.–27. 6. 2025 (publikováno 4. 6. 2025) (checked 2026-10-02) | https://www.praha7.cz/ic-milady-horakove-2-bude-23-7-otevreno-do-14-hodin/ – zkrácený provoz 23. 7. 2024 (checked 2026-10-02) | WebSearch 'Informační centrum Praha 7 otevírací doba' (checked 2026-10-02)</t>
  </si>
  <si>
    <t xml:space="preserve">Agent použil aktuální stránku služby MČ jako důkaz (sporné pravidlo – viz list Návrhy pravidel, N-1).</t>
  </si>
  <si>
    <t xml:space="preserve">P7-042</t>
  </si>
  <si>
    <t xml:space="preserve">Hobulet (měsíčník MČ)</t>
  </si>
  <si>
    <t xml:space="preserve">high</t>
  </si>
  <si>
    <t xml:space="preserve">Hobulet vychází – archiv na praha7.cz obsahuje čísla 1–9/2026 (11 čísel ročně, v srpnu nevychází) a je zdarma doručován do všech schránek v Praze 7. Chybí kontakt na redakci.</t>
  </si>
  <si>
    <t xml:space="preserve">contact: hobulet@praha7.cz (redakce); archive: https://www.praha7.cz/hobulet/archiv-hobuletu/; periodicity: 11 čísel ročně (bez srpna)</t>
  </si>
  <si>
    <t xml:space="preserve">https://www.praha7.cz/hobulet/archiv-hobuletu/ – poslední číslo 9/2026 (checked 2026-10-02) | https://www.praha7.cz/hobulet/ – měsíčník, 11× ročně, zdarma do schránek, e-mail redakce (checked 2026-10-02) | WebSearch 'Hobulet Praha 7 září 2026' – článek „Už jste četli zářijový Hobulet?“ (checked 2026-10-02)</t>
  </si>
  <si>
    <t xml:space="preserve">Agent našel aktuální čísla Hobuletu (2026). Pravděpodobně správně.</t>
  </si>
  <si>
    <t xml:space="preserve">P7-043</t>
  </si>
  <si>
    <t xml:space="preserve">Munipolis Praha 7</t>
  </si>
  <si>
    <t xml:space="preserve">Praha 7 Munipolis aktivně používá – oficiální stránka MČ popisuje službu (e-mail, SMS, aplikace, výběr témat) a na platformě Munipolis Praha 7 jsou zveřejněna čísla Hobuletu z prosince 2025 až dubna 2026. Chybí, jak se zaregistrovat.</t>
  </si>
  <si>
    <t xml:space="preserve">how_to_join: registrace zdarma na praha7.munipolis.cz/registrace, v mobilní aplikaci Munipolis nebo papírovým formulářem na úřadě/infocentru; channels: e-mail, SMS, aplikace (hlasové zprávy při krizi); doporučeno uvést ulici</t>
  </si>
  <si>
    <t xml:space="preserve">https://www.praha7.cz/potrebuji-zaridit/poskytovani-informaci/munipolis/ – oficiální popis služby, kanály, registrace, od 2019 (checked 2026-10-02) | WebSearch 'praha7.munipolis.cz zpráva 2026' – na admin-storage.munipolis.com/praha7 Hobulet 12/2025, 3/2026, 4/2026 (checked 2026-10-02) | https://praha7.munipolis.cz/ – 403 (checked 2026-10-02) | WebSearch 'Munipolis Praha 7 registrace' (checked 2026-10-02)</t>
  </si>
  <si>
    <t xml:space="preserve">Městský kanál – agent ověřil, ruční ověření ne. Pravděpodobně správně.</t>
  </si>
  <si>
    <t xml:space="preserve">P7-056</t>
  </si>
  <si>
    <t xml:space="preserve">Kosení ve Stromovce</t>
  </si>
  <si>
    <t xml:space="preserve">Poslední doložený ročník je červen 2025 (Deník, 4. 6. 2025), o ročníku 2026 jsme nenašli zdroj. Chybí pořadatel a kontakt (záznam odkazuje jen na Hobulet a Facebook).</t>
  </si>
  <si>
    <t xml:space="preserve">organiser; contact; hours</t>
  </si>
  <si>
    <t xml:space="preserve">organiser: neformální skupina dobrovolníků ve spolupráci s Lesy hl. m. Prahy (dle CityBee 2024, ověřit); hours: zpravidla 1. pátek v červnu, 2024 5:30–10:00; contact: doplnit (ne soukromý kontakt)</t>
  </si>
  <si>
    <t xml:space="preserve">https://www.denik.cz/ctenar-reporter/obrazem-koseni-ve-stromovce-20250604.html – reader report of 2025 edition, dated 2025-06-04 (search result) (checked 2026-10-02) | https://www.citybee.cz/vyhledavani/:/akce/125407-koseni-ve-stromovce-vol-11/ – vol.11 on 7 Jun 2024, 5:30–10:00, with Lesy hl. m. Prahy (checked 2026-10-02) | WebSearch site:praha7.cz kosení 2026 and "vol.13" – nothing for 2026 (checked 2026-10-02)</t>
  </si>
  <si>
    <t xml:space="preserve">Ruční ověření bylo mírnější (poslední ročník 30. 5. 2025 je už mimo 12 měsíců). Agent postupoval podle pravidla – zeptat se pořadatelů na ročník 2026.</t>
  </si>
  <si>
    <t xml:space="preserve">P7-063</t>
  </si>
  <si>
    <t xml:space="preserve">Místní místním (Solidární síť)</t>
  </si>
  <si>
    <t xml:space="preserve">Organizace existuje a web je živý, ale bez datovaných příspěvků; poslední doklad zapojení podniků na Praze 7 je z 2. 6. 2023, nabídku voucherů jsme neověřili. Chybí provozovatel, konkrétní podniky na Praze 7 a jak se zapojit.</t>
  </si>
  <si>
    <t xml:space="preserve">operator: Místní místním, z.ú.; contact: info@mistnimistnim.cz; p7_location (stav 2023, ověřit): Knihkopec (Tusarova 25a), Restart Shop (Komunardů 14), Přístav 7, Studio Hrdinů (Dukelských hrdinů 47); how_to_join: dar přes https://www.darujme.cz/mistni (ověřit)</t>
  </si>
  <si>
    <t xml:space="preserve">https://mistnimistnim.cz/ – live, operator Místní místním, z.ú., no dated posts, no P7 partner list (checked 2026-10-02) | https://www.praha7.cz/vsichni-dohromady/ – P7 partner businesses, published 2 Jun 2023 (checked 2026-10-02) | https://www.darujme.cz/mistni – fundraiser exists (search result, not opened) (checked 2026-10-02)</t>
  </si>
  <si>
    <t xml:space="preserve">Organizace celopražsky aktivní, ale aktivitu přímo na P7 agent nedoložil. Agent je přísnější, ale konzistentní.</t>
  </si>
  <si>
    <t xml:space="preserve">P7-070</t>
  </si>
  <si>
    <t xml:space="preserve">Knihobudky na Praze 7</t>
  </si>
  <si>
    <t xml:space="preserve">Knihobudky na Praze 7 fungují – v únoru–dubnu 2026 je MČ renovovala. Chybí provozovatel (instalovala MČ Praha 7, starají se patroni) a konkrétní místa; zda je mapa na knihobudka.cz zahrnuje, nebylo ověřeno.</t>
  </si>
  <si>
    <t xml:space="preserve">operator: MČ Praha 7 (péče patronů – dle praha7.cz 2018, ověřit); p7_location: Strossmayerovo nám., Řezáčovo nám., park v Tusarově ul., U Průhonu</t>
  </si>
  <si>
    <t xml:space="preserve">https://www.praha7.cz/knihobudky-v-praze-7-projdou-renovaci/ – 4 booths renovated, back early April 2026, published 12 Feb 2026, updated 24 Mar 2026 (checked 2026-10-02) | https://www.praha7.cz/praha-7-ma-tri-nove-knihobudky/ – installed by MČ Praha 7, patrons, 4 locations (2018) (checked 2026-10-02) | https://www.knihobudka.cz/#mapa – nationwide map project exists (search result; direct fetch blocked) (checked 2026-10-02)</t>
  </si>
  <si>
    <t xml:space="preserve">Agent našel opravu knihobudek (únor–duben 2026) na praha7.cz. Pravděpodobně správně.</t>
  </si>
  <si>
    <t xml:space="preserve">C</t>
  </si>
  <si>
    <t xml:space="preserve">P7-001</t>
  </si>
  <si>
    <t xml:space="preserve">Dobrovolnické centrum Agora 7 (NF Agora 7)</t>
  </si>
  <si>
    <t xml:space="preserve">Dobrovolnické centrum je aktivní (agora7.cz má příspěvky z 05–06/2026), ale u koordinátorky je v průvodci placeholder „tel.: xxx“ a provozovatel je uveden jako „Nadační fond Agora 7“, zatímco vlastní web se prezentuje jako „Agora 7 – nadace“ (nutno ověřit v justice.cz). Chybí adresa působení.</t>
  </si>
  <si>
    <t xml:space="preserve">p7_location</t>
  </si>
  <si>
    <t xml:space="preserve">p7_location: V Přístavu 1639/24, Praha 7 (dcagora7.cz/o-nas); contact: odstranit „tel.: xxx“ (R-005) a místo osobních e-mailů koordinátorek uvádět web dcagora7.cz / obecnou adresu dc@agora7.cz (R-101; dc@ na webu nepotvrzena); operator: ověřit přesný název a právní formu (Nadační fond Agora 7, IČO 04966856 vs. „Agora 7 – nadace“) – PM</t>
  </si>
  <si>
    <t xml:space="preserve">https://www.agora7.cz – vlastní web, datované příspěvky 4. 5. 2026 a 11. 6. 2026, adresa V přístavu 1639/24, uvádí, že provozuje DC Agora 7, název „Agora 7 – nadace“ (checked 2026-10-02) | https://www.dcagora7.cz – web DC, akce (únor, rok neuveden), sekce Zapoj se (checked 2026-10-02) | https://www.dcagora7.cz/o-nas/ – adresa V Přístavu 1639/24, dvě koordinátorky dobrovolníků, stránka upravena 12. 5. 2026 (checked 2026-10-02) | https://www.podnikatel.cz/rejstrik/nadacni-fond-agora-7-04966856/ – agregátor rejstříku (nízká důvěra): nadační fond IČO 04966856, sídlo od 28. 5. 2025 V přístavu 1639/24, bez likvidace; název zobrazen nejednoznačně (checked 2026-10-02) | https://rejstrik-firem.kurzy.cz/04966856/nadacni-fond-agora-7/ – nedostupné (robots.txt) (checked 2026-10-02)</t>
  </si>
  <si>
    <t xml:space="preserve">Rozpor ve zdrojích (R-004): „nadace“ vs. nadační fond, kdo provozuje kurzy v Přístavu 7. Interně si ujasnit, jde o naši organizaci.</t>
  </si>
  <si>
    <t xml:space="preserve">P7-003</t>
  </si>
  <si>
    <t xml:space="preserve">Centrum Elpida – Přístav</t>
  </si>
  <si>
    <t xml:space="preserve">Centrum Elpida v Přístavu je aktivní (zápis do kurzů pro seniory 18. 9. 2026 podle praha7.cz), ale MČ uvádí e-mail pristav@elpida.cz místo pristav7@elpida.cz z průvodce. Související záznam „KC Přístav 7“ obsahuje placeholdery „E-mail: xxx“ a „www.xxx.cz“ a vztah Elpidy a NF Agora 7 k centru Přístav 7 je třeba vyjasnit.</t>
  </si>
  <si>
    <t xml:space="preserve">operator; p7_location; hours; how_to_join</t>
  </si>
  <si>
    <t xml:space="preserve">contact: pristav@elpida.cz (praha7.cz; ověřit na webu Elpidy); p7_location: V Přístavu 1639/24, Praha 7; operator: Elpida, o.p.s. (podle výpisů – ověřit); KC Přístav 7: nahradit „xxx“ a „www.xxx.cz“ (R-005); vyjasnit, kdo provozuje „Centrum pro seniory Přístav 7“ (rejstřík NF Agora 7 ho uvádí v účelu fondu) – PM</t>
  </si>
  <si>
    <t xml:space="preserve">https://www.praha7.cz/volny-cas-prehled/seniori/kurzy-pro-seniory-v-pristavu-7/ – kurzy pro seniory v Přístavu 7 pořádá Elpida, V Přístavu 24, e-mail pristav@elpida.cz, zápis 18. 9. 2026, kurzy 9–12/2026 (checked 2026-10-02) | https://admin-storage.munipolis.com/praha7/bulletin/files/f088649e-75dd-45b7-832f-517485654c8c.pdf – Hobulet 03/2026 zmiňuje komunitní aktivity v Centru Elpida (střední důvěra; lookup započten u P7-016) (checked 2026-10-02) | https://www.elpida.cz – nedostupné (povolení nepotvrzeno) (checked 2026-10-02) | https://www.pristav7.cz – nedostupné (chyba TLS certifikátu) (checked 2026-10-02) | https://centrum.elpida.cz/pobocka-pristav – nedostupné (timeout); ve vyhledávání titulek „Prohlídka nových prostor Přístavu“ (checked 2026-10-02)</t>
  </si>
  <si>
    <t xml:space="preserve">Rozpor e-mailu: pristav@ vs. pristav7@elpida.cz – web Elpidy uvádí pristav@.</t>
  </si>
  <si>
    <t xml:space="preserve">P7-021</t>
  </si>
  <si>
    <t xml:space="preserve">CLAP 2 / Together in Prague 7</t>
  </si>
  <si>
    <t xml:space="preserve">Záznam v průvodci je jen nevyplněný nadpis („CLAP 2“, „Together in Prague 7“ pod „(nutné doplnit)“, R-005) a projekt pod těmito názvy jsme na webu nedohledali. MČ Praha 7 provozuje vlastní integrační program (kurz češtiny od září 2026), není ale doloženo, že jde o tentýž projekt.</t>
  </si>
  <si>
    <t xml:space="preserve">operator; p7_location; contact; how_to_join</t>
  </si>
  <si>
    <t xml:space="preserve">doplnit nebo odstranit záznam (R-005); kandidát k ověření u PM: integrační program ÚMČ Praha 7, Odbor sociálního začleňování – kurz češtiny od 9/2026, út 16:00–17:30, U Průhonu 1338/38</t>
  </si>
  <si>
    <t xml:space="preserve">https://www.praha7.cz/praha-7-pokracuje-v-uspesnem-programu-integrace-cizincu/ – 19. 5. 2025, integrační program MČ na rok 2025 (MV ČR, UNHCR), partneři vč. MigAct a Cirkusárny; názvy CLAP/Together nezmíněny (checked 2026-10-02) | https://www.praha7.cz/temata/cizinci-a-narodnostni-mensiny/kurzy-cestiny/ – kurz češtiny MČ od září 2026, přihlášky od 20. 8. 2026 (checked 2026-10-02) | web search „Together in Prague 7“ / „CLAP 2“ – žádný relevantní výsledek (checked 2026-10-02)</t>
  </si>
  <si>
    <t xml:space="preserve">Prázdný nadpis „(nutné doplnit)“, projekt nenalezen. Doplnit, nebo vyřadit.</t>
  </si>
  <si>
    <t xml:space="preserve">P7-022</t>
  </si>
  <si>
    <t xml:space="preserve">Jazykové kurzy – META, CIC, Kroky dobra</t>
  </si>
  <si>
    <t xml:space="preserve">Odstavec je převzatý z průvodce Prahou 3 („Na Praze 3 a v blízkém okolí“, R-006) a u žádné ze tří organizací jsme nedoložili kurzy na Praze 7 (CIC má pražskou pobočku v Pernerově ul., Kroky dobra mají poslední datované aktivity z roku 2024, stránka kurzů META vrací 404). Pro Prahu 7 je ověřený bezplatný kurz češtiny MČ Praha 7 od září 2026.</t>
  </si>
  <si>
    <t xml:space="preserve">p7_location; how_to_join; hours</t>
  </si>
  <si>
    <t xml:space="preserve">text: přepsat pro Prahu 7 (R-006); p7_location: doplnit, kde kurzy na Praze 7 probíhají, jinak organizace odebrat – PM; doplnit kurz MČ Praha 7: út 16:00–17:30, U Průhonu 1338/38, zdarma pro obyvatele P7, přihlášky od 20. 8. 2026</t>
  </si>
  <si>
    <t xml:space="preserve">https://www.krokydobra.cz/en – pomoc ukrajinským dětem, konverzační klub 2–6/2024, tábory 2024, bez zmínky o Praze 7 (checked 2026-10-02) | https://meta-ops.eu/cizinci/czech-language-courses-2/ – 404 (checked 2026-10-02) | https://www.cicops.cz/en/contacts/17-praha-pernerova – jen titulek ve vyhledávání: pražská pobočka CIC Pernerova (mimo P7) (checked 2026-10-02) | https://www.meta-ops.eu/en/ – jen ve vyhledávání, bez údaje o P7 (checked 2026-10-02) | https://www.praha7.cz/temata/cizinci-a-narodnostni-mensiny/kurzy-cestiny/ – kurz MČ Praha 7 od 9/2026 (lookup u P7-021) (checked 2026-10-02)</t>
  </si>
  <si>
    <t xml:space="preserve">Odstavec převzatý z průvodce Prahou 3 (R-006). Agent navrhuje náhradu: bezplatný kurz češtiny MČ od 9/2026.</t>
  </si>
  <si>
    <t xml:space="preserve">P7-023</t>
  </si>
  <si>
    <t xml:space="preserve">Sousedé U Studánky</t>
  </si>
  <si>
    <t xml:space="preserve">Skupina je uvedena v seznamu sousedských spolků na praha7.cz s odkazem na facebookovou skupinu, aktivitu ale nelze automaticky ověřit (R-001, R-102). Průvodce uvádí pro koordinátorku sousedských spolků dvě různá jména se stejným telefonem (Šormová vs. Panko) a praha7.cz uvádí Šormovou – konflikt pro PM (R-004).</t>
  </si>
  <si>
    <t xml:space="preserve">p7_location; contact; how_to_join</t>
  </si>
  <si>
    <t xml:space="preserve">contact: odkaz na FB skupinu ze stránky praha7.cz (po ruční kontrole); url seznamu: www.praha7.cz/volny-cas-prehled/sousedskespolkyprahy7/ místo www.praha7.cz/sousedskespolky; koordinátor: vyjasnit jméno (R-004) a uvádět jen úřední kontakt; v kapitole Sociální sítě opravit „Více na straně X“ (R-005)</t>
  </si>
  <si>
    <t xml:space="preserve">https://www.praha7.cz/volny-cas-prehled/sousedskespolkyprahy7/ – Sousedé U Studánky v seznamu, odkaz na FB skupinu, koordinátorka M. Šormová; bez data aktualizace (checked 2026-10-02) | guide.txt ř. 1167 a 2583 – průvodce: koordinátorka Šormová vs. Panko se stejným telefonem (checked 2026-10-02) | web search koordinátorka sousedských spolků – bez rozhodnutí konfliktu (checked 2026-10-02)</t>
  </si>
  <si>
    <t xml:space="preserve">Rozpor Šormová vs. Panko (R-004) – stejný jako u P7-029. Jedna odpověď radnice vyřeší oba.</t>
  </si>
  <si>
    <t xml:space="preserve">P7-030</t>
  </si>
  <si>
    <t xml:space="preserve">Dolní Holešovice, z. s.</t>
  </si>
  <si>
    <t xml:space="preserve">Kontaktní e-mail v průvodci je neúplný („dolniholesovice@seznam“ bez domény – chyba/placeholder, R-005) a za posledních 12 měsíců jsme nenašli vysoce důvěryhodný doklad aktivity (web nemá, FB/IG nekontrolujeme, R-102). Spolek podle rejstříku existuje bez likvidace; chybí způsob zapojení.</t>
  </si>
  <si>
    <t xml:space="preserve">contact: opravit neúplný e-mail (pravděpodobně dolniholesovice@seznam.cz – NEOVĚŘENO, nutno potvrdit u spolku); operator: Dolní Holešovice, z.s., IČO 04288271, sídlo Praha 7 – Holešovice (spolkový rejstřík L 63244/MSPH)</t>
  </si>
  <si>
    <t xml:space="preserve">https://www.chytryrejstrik.cz/ico-04288271/dolni-holesovice-z-s – spolek aktivní v rejstříku od 27. 8. 2015, sídlo Praha 7, bez likvidace (jen existence, ne aktivita) (checked 2026-10-02) | https://www.praha7.cz/nove-stromy-pro-holesovice/ – výtěžek 3. Holešovického plesu na 27 stromů, 25. 11. 2019 (checked 2026-10-02) | https://www.praha7.cz/uklidme-cesko-26/ – úklid v dolních Holešovicích 28. 3. 2026 pořádá MČ, spolek neuveden (checked 2026-10-02) | WebSearch '"Dolní Holešovice" z. s. spolek 2026' a 'Holešovický ples 2026' – jen rejstříky, FB/IG a ples 2022 (checked 2026-10-02)</t>
  </si>
  <si>
    <t xml:space="preserve">Useknutý e-mail v průvodci; poslední doložená aktivita 2019. Kandidát na výzvu e-mailem.</t>
  </si>
  <si>
    <t xml:space="preserve">P7-038</t>
  </si>
  <si>
    <t xml:space="preserve">Spolek rodičů ZŠ TGM</t>
  </si>
  <si>
    <t xml:space="preserve">Vlastní web spolku blokuje automatický přístup; podle výsledku vyhledávání má stránku „Aktivity spolku ve školním roce 2025/2026“, takže spolek je pravděpodobně aktivní, ale obsah jsme nemohli ověřit. Rok založení 2018 a web www.spolekrodicu.cz potvrzuje web školy.</t>
  </si>
  <si>
    <t xml:space="preserve">website (doplnit): stránka spolku na webu školy https://zstgm7.cz/skola/spolek-rodicu-pri-zs-tgm/; how_to_join: ověřit ručně na spolekrodicu.cz</t>
  </si>
  <si>
    <t xml:space="preserve">http://www.spolekrodicu.cz/akce/ – v snippetu titulek „Aktivity spolku ve školním roce 2025/2026“; samotná stránka nenačtena (robots/timeout) (checked 2026-10-02) | https://zstgm7.cz/skola/spolek-rodicu-pri-zs-tgm/ – spolek od 2018, web spolekrodicu.cz, bez dat (checked 2026-10-02) | WebSearch '"Pochod TGM" OR "Z pera a palety" … 2026' – jen web spolku (checked 2026-10-02)</t>
  </si>
  <si>
    <t xml:space="preserve">Na webu spolku je stránka „Aktivity 2025/2026“, ale web blokuje agenty. 1 minuta ruční kontroly → verified.</t>
  </si>
  <si>
    <t xml:space="preserve">P7-057</t>
  </si>
  <si>
    <t xml:space="preserve">Biojarmark (NZM)</t>
  </si>
  <si>
    <t xml:space="preserve">Poslední doložený ročník je 5. 10. 2024; termín pro 2025/2026 jsme nenašli (Kudy z nudy: „nový termín nemáme potvrzený“). Záznam neuvádí pořadatele (NZM vs. Pro-Bio Liga), čas ani kontakt.</t>
  </si>
  <si>
    <t xml:space="preserve">organiser; hours; contact</t>
  </si>
  <si>
    <t xml:space="preserve">organiser: Národní zemědělské muzeum / PRO-BIO Liga (zdroje se liší – ověřit); p7_location: nádvoří NZM, Kostelní 44; hours: jednou ročně na podzim, 2024 9:00–17:00; contact: https://www.nzm.cz</t>
  </si>
  <si>
    <t xml:space="preserve">https://www.nzm.cz/aktualne-v-muzeu/akce/biojarmark-vstup-zdarma – edition 5 Oct 2024, 9–17, organiser NZM, Kostelní 44 (checked 2026-10-02) | https://www.kudyznudy.cz/akce/biojarmark-na-letne – 5 Oct 2024, organiser Pro-Bio Liga, 'no confirmed new date' (checked 2026-10-02) | https://www.nzm.cz/aktualne-v-muzeu/akce/biojarmark2 – another NZM listing (search result, undated) (checked 2026-10-02)</t>
  </si>
  <si>
    <t xml:space="preserve">Rozpor pořadatele: NZM vs. Pro-Bio Liga (R-004).</t>
  </si>
  <si>
    <t xml:space="preserve">P7-060</t>
  </si>
  <si>
    <t xml:space="preserve">Fashion Charity Shop (Klub svobodných matek)</t>
  </si>
  <si>
    <t xml:space="preserve">Obchod funguje na uvedené adrese (Dukelských hrdinů 564/34) a uvedený web je stále živý; aktivitu dokládá jen aktuální stránka obchodu (střední důvěra, krok 6). Chybí otevírací doba; web provozovatele navíc uvádí druhou prodejnu na Praze 7 (Pplk. Sochora 740/34).</t>
  </si>
  <si>
    <t xml:space="preserve">hours</t>
  </si>
  <si>
    <t xml:space="preserve">hours: Po–So 10:00–18:00; location: Dukelských hrdinů 564/34 (+ ověřit 2. prodejnu Pplk. Sochora 740/34, Praha 7); website: také https://klubsvobodnychmatek.cz/fashioncharityshop/</t>
  </si>
  <si>
    <t xml:space="preserve">https://klubsvobodnychmatek.cz/fashioncharityshop/ – shop page: Dukelských hrdinů 564/34, Po–So 10–18, operator Klub svobodných matek z.s.; no dated posts (checked 2026-10-02) | https://fashioncharityshop.com/kontakty/ – live, lists Dukelských hrdinů 564/34 and Pplk. Sochora 740/34, footer © 2026 (checked 2026-10-02) | WebSearch "Fashion Charity Shop" Holešovice 2026 – no dated item (checked 2026-10-02)</t>
  </si>
  <si>
    <t xml:space="preserve">Ověřeno jen podle nedatované stránky obchodu (sporné pravidlo – N-1). Dva weby provozovatele se liší u druhé prodejny.</t>
  </si>
  <si>
    <t xml:space="preserve">D</t>
  </si>
  <si>
    <t xml:space="preserve">P7-005</t>
  </si>
  <si>
    <t xml:space="preserve">Botanicula II.</t>
  </si>
  <si>
    <t xml:space="preserve">Web agora7.cz popisuje Botaniculu II jako fungující zahradu, ale bez datované aktivity; sbírka na darujme.cz je uzavřená a ostatní zdroje jsou z roku 2020. Průvodce jako kontakt uvádí osobní e-mail pracovnice (doporučeno nahradit organizačním kontaktem, R-101) a chybí místo zahrady.</t>
  </si>
  <si>
    <t xml:space="preserve">operator: Nadační fond Agora 7 (darujme.cz/projekt/1202611); p7_location: Holešovice, u ul. Jankovcova / Marina (roklen24 2020 – ověřit přesnou adresu); contact: organizační kontakt Agory 7 místo osobního e-mailu</t>
  </si>
  <si>
    <t xml:space="preserve">https://www.agora7.cz – popis Botaniculy II jako komunitní zahrady se školami, bez data (fetch u P7-001) (checked 2026-10-02) | https://www.darujme.cz/projekt/1202611 – sbírka uzavřena, organizátor Nadační fond Agora 7, 400 m² (checked 2026-10-02) | https://roklen24.cz/?quick_news=botanicula-spojuje-generace-a-prinasi-nadechnuti-v-zeleni-uprostred-mesta – 9. 10. 2020, Botanicula II plánovaná, Holešovice u Jankovcovy/Mariny (checked 2026-10-02) | https://www.agora7.cz/botanicula/ – nedostupné (povolení nepotvrzeno) (checked 2026-10-02)</t>
  </si>
  <si>
    <t xml:space="preserve">K výzvě e-mailem / ruční kontrole (agent nenašel dost důkazů).</t>
  </si>
  <si>
    <t xml:space="preserve">P7-010</t>
  </si>
  <si>
    <t xml:space="preserve">Kulturně komunitní centrum ART</t>
  </si>
  <si>
    <t xml:space="preserve">Centrum je aktivní (web altanart.cz/kkcart/aktualne má program na září 2026) a údaje v průvodci platí; doména altanart.cz je nyní titulní stránka Ateliéru radostné tvorby a centrum má i web kkcart.net. Chybí provozovatel, adresa a otevírací doba.</t>
  </si>
  <si>
    <t xml:space="preserve">operator; p7_location; hours</t>
  </si>
  <si>
    <t xml:space="preserve">p7_location: Nad Královskou oborou 55, Praha 7 (kkcart.net); website: www.altanart.cz/kkcart/ nebo www.kkcart.net; operator: na webu neuveden – ověřit; telefony z webu nepřebírány (mohou být osobní)</t>
  </si>
  <si>
    <t xml:space="preserve">https://www.altanart.cz/kkcart/aktualne/ – vlastní web, program ZÁŘÍ 2026, stránka upravena 30. 8. 2026, bez oznámení o ukončení (checked 2026-10-02) | https://www.kkcart.net/ – adresa Nad Královskou oborou 55, bezplatné výtvarné aktivity pro seniory a lidi s duševním onemocněním (checked 2026-10-02) | https://www.praha7.cz/kulturne-komunitni-centrum-art-v-galerii-na-urade/ – výstava 2018 (starší) (checked 2026-10-02) | https://www.altanart.cz – nedostupné (povolení nepotvrzeno) (checked 2026-10-02)</t>
  </si>
  <si>
    <t xml:space="preserve">Rutinní – zkontroluj zjištění a zdroje.</t>
  </si>
  <si>
    <t xml:space="preserve">P7-011</t>
  </si>
  <si>
    <t xml:space="preserve">Městská knihovna – Sedmička + Klubovna Sedmička</t>
  </si>
  <si>
    <t xml:space="preserve">Pobočka Sedmička i Klubovna Sedmička fungují a podmínky z průvodce (zdarma, od 15 let, alespoň jeden platný čtenářský průkaz) platí. Chybí otevírací doba.</t>
  </si>
  <si>
    <t xml:space="preserve">hours: Po 13–19, Út 9–16, St 12–19, Čt 12–19, Pá 9–16, So 9–13 (mlp.cz); p7_location: Tusarova 429/35, Praha 7; how_to_join (klubovna): rezervace online formulářem, sedmicka@mlp.cz nebo osobně, kapacita 15/25 osob, max. 4 h denně</t>
  </si>
  <si>
    <t xml:space="preserve">https://www.mlp.cz/en/pobocky/sedmicka – Tusarova 429/35, otevírací doba, oznámení o zavření 25. 5., 28. 9. a 28. 10. 2026, Klubovna Sedmička (checked 2026-10-02) | https://www.mlp.cz/cz/klubovna-sedmicka – zdarma, od 15 let, alespoň jeden platný průkaz, rezervace, kapacita (checked 2026-10-02)</t>
  </si>
  <si>
    <t xml:space="preserve">P7-016</t>
  </si>
  <si>
    <t xml:space="preserve">Babička a dědeček ze sousedství (program MČ)</t>
  </si>
  <si>
    <t xml:space="preserve">Stránka programu na praha7.cz je funkční (online formulář, seznam zájemců), ale bez data a poslední datovaný zdroj je z 13. 2. 2024, takže aktivitu za 12 měsíců nelze doložit. URL v průvodci je zastaralá a chybí organizátor (ÚMČ Praha 7) a online formulář.</t>
  </si>
  <si>
    <t xml:space="preserve">organiser; contact</t>
  </si>
  <si>
    <t xml:space="preserve">url: www.praha7.cz/volny-cas-prehled/seniori/babicka-ze-sousedstvi/; organiser: ÚMČ Praha 7, Odbor kultury a sportu; how_to_join: online formulář na praha7.cz nebo nástěnka v Informačním centru Prahy 7, Milady Horákové 2; contact: úřední kontakt odboru (bez osobních údajů)</t>
  </si>
  <si>
    <t xml:space="preserve">https://www.praha7.cz/volny-cas-prehled/seniori/babicka-ze-sousedstvi/ – program běží přes nástěnku v IC Prahy 7 a online formulář, seznamy zájemců, nedatováno (checked 2026-10-02) | https://www.blesk.cz/clanek/regiony-praha-praha-zpravy/779028/babicka-a-dedecek-ze-sousedstvi-praha-7-propojuje-seniory-s-rodinami.html – 13. 2. 2024, popis programu MČ (checked 2026-10-02) | https://admin-storage.munipolis.com/praha7/bulletin/files/f088649e-75dd-45b7-832f-517485654c8c.pdf – Hobulet 03/2026 program nezmiňuje (checked 2026-10-02)</t>
  </si>
  <si>
    <t xml:space="preserve">P7-017</t>
  </si>
  <si>
    <t xml:space="preserve">Junák – skautské oddíly na Praze 7</t>
  </si>
  <si>
    <t xml:space="preserve">Průvodce odkazuje jen na celostátní web skaut.cz bez konkrétních oddílů na Praze 7; ověřené středisko Bílý Albatros (klubovny U Smaltovny a Šternberkova) má poslední datovanou novinku z června 2024. Chybí konkrétní místa, kontakty a způsob přihlášení.</t>
  </si>
  <si>
    <t xml:space="preserve">operator: Junák – český skaut, okres Praha 7, z. s., IČO 00459992 (agregátory – ověřit); p7_location: 85. středisko Bílý Albatros – klubovny U Smaltovny a Šternberkova (bilyalbatros.skauting.cz); 39. středisko Vatra Praha – klubovna Holešovice (firmy.cz, nízká důvěra); contact: bily.albatros@skaut.cz; how_to_join: přijít na schůzku po domluvě s vedoucím</t>
  </si>
  <si>
    <t xml:space="preserve">https://bilyalbatros.skauting.cz/ – klubovny na Praze 7, poslední novinka 17. 6. 2024, organizační e-mail (checked 2026-10-02) | https://www.firmy.cz/detail/12813638-junak-cesky-skaut-39-stredisko-vatra-praha-klubovna-praha-holesovice.html – klubovna 39. střediska Vatra v Holešovicích (nízká důvěra) (checked 2026-10-02) | https://en.firmy.cz/company/2174069-junak-cesky-skaut-okres-praha-7-z-s-praha-holesovice.html?noredirect=1 – okres Praha 7 existuje (nízká důvěra) (checked 2026-10-02) | https://lvicatapraha.skauting.cz/ – oddíl v Praze 10 – nerelevantní (checked 2026-10-02)</t>
  </si>
  <si>
    <t xml:space="preserve">P7-019</t>
  </si>
  <si>
    <t xml:space="preserve">Cirkusárna</t>
  </si>
  <si>
    <t xml:space="preserve">Průvodce uvádí jen facebookovou stránku (R-001) a poslední datované zdroje jsou kroužek v ZŠ Tusarova 2020/21 a zmínka mezi partnery integračního programu MČ v květnu 2025, tedy starší než 12 měsíců. Provozovatel není uveden; sbírka Cirkinclusion spolku Slovo 21 může souviset, vazbu je třeba ověřit.</t>
  </si>
  <si>
    <t xml:space="preserve">operator; p7_location; contact; how_to_join; hours</t>
  </si>
  <si>
    <t xml:space="preserve">p7_location: ZŠ Tusarova, Praha 7 (praha7.cz 2020 – ověřit aktuálnost); operator: možná Slovo 21, z. s. (darujme.cz – ověřit); hours: čtvrtky 16–17 a 17:30–19 (2020/21 – ověřit)</t>
  </si>
  <si>
    <t xml:space="preserve">https://www.praha7.cz/cirkusarna-aneb-krouzek-novocirkusovych-dovednosti-v-zs-tusarova/ – kroužek v ZŠ Tusarova, sezóna 2020/21, přihláška online (checked 2026-10-02) | https://www.praha7.cz/praha-7-pokracuje-v-uspesnem-programu-integrace-cizincu/ – 19. 5. 2025: Cirkusárna partnerem integračního programu MČ 2025 (lookup u P7-021) (checked 2026-10-02) | https://www.darujme.cz/projekt/1207638 – Cirkinclusion, Slovo 21, z. s., kroužky na Praze 7, projekt od 11/2022 (checked 2026-10-02) | web search Cirkusárna 2025/2026 – bez novějších zdrojů (checked 2026-10-02)</t>
  </si>
  <si>
    <t xml:space="preserve">P7-031</t>
  </si>
  <si>
    <t xml:space="preserve">TJ Sokol Bubeneč</t>
  </si>
  <si>
    <t xml:space="preserve">Vlastní web sokol-bubenec.cz se nepodařilo automaticky načíst a jinde jsme nenašli datovaný doklad aktivity za posledních 12 měsíců; florbalový oddíl uvedený v průvodci má na webu svazu data jen ze sezóny 2009/2010, výčet oddílů tedy může být zastaralý. Chybí adresa sokolovny a způsob zapojení.</t>
  </si>
  <si>
    <t xml:space="preserve">p7_location: Korunovační 29, 170 00 Praha 7 – Bubeneč; contact: bubenec@sokol.eu (jednota), tel. 233 370 389 (jednota); activities: ověřit aktuální výčet oddílů (florbal?)</t>
  </si>
  <si>
    <t xml:space="preserve">https://www.sokol-bubenec.cz – nepodařilo se načíst (automatický přístup nepovolen) (checked 2026-10-02) | https://www.sokol.eu/sokolovna/tj-sokol-bubenec – adresa Korunovační 29, e-mail jednoty, bez oddílů a bez dat (checked 2026-10-02) | https://odm.ceskyflorbal.cz/team/detail/overview/4497?toCs=1 – Fbk Sokol Bubeneč, poslední data sezóna 2009/2010 (checked 2026-10-02) | https://www.bubenec.eu/sokol-bubenec/ – historický článek z 16. 4. 2023 (checked 2026-10-02) | WebSearch 'TJ Sokol Bubeneč oddíly 2026' – nic datovaného (checked 2026-10-02)</t>
  </si>
  <si>
    <t xml:space="preserve">P7-033</t>
  </si>
  <si>
    <t xml:space="preserve">Spolek českých bibliofilů</t>
  </si>
  <si>
    <t xml:space="preserve">Vlastní web spolku nemá nic novějšího než valnou hromadu 12. 6. 2021 a vyhledávání „2026“ nic nepřineslo, takže aktivitu za posledních 12 měsíců nelze doložit. Z průvodce není zřejmé, kde spolek na Praze 7 působí (podle starších pozvánek setkání mj. v hotelu Absolutum, Jablonského 4, Holešovice; sídlo dle katalogů Holešovice).</t>
  </si>
  <si>
    <t xml:space="preserve">website: spolekceskychbibliofilu.cz (bez www); p7_location: sídlo Praha 7 – Holešovice dle katalogů (NEOVĚŘENO v rejstříku), setkání dříve v hotelu Absolutum, Jablonského 639/4, Praha 7; how_to_join: stránka Členství ve SČB (spolekceskychbibliofilu.cz/scb/clenstvi-v-csb/); časopis: Zprávy SČB</t>
  </si>
  <si>
    <t xml:space="preserve">https://spolekceskychbibliofilu.cz/ – poslední datovaná položka valná hromada 12. 6. 2021; časopis Zprávy SČB; místa setkání Galerie Hollar, hotel Absolutum (P7), hotel Villa (checked 2026-10-02) | https://www.spolekceskychbibliofilu.cz – automatický přístup nepovolen (checked 2026-10-02) | https://spolekceskychbibliofilu.cz/kontakt/ – nenačteno (timeout) (checked 2026-10-02) | WebSearch '"Spolek českých bibliofilů" 2026' a '… sídlo adresa Praha' – jen katalogy (Firmy.cz Holešovice, IČO 00443395), nic datovaného (checked 2026-10-02)</t>
  </si>
  <si>
    <t xml:space="preserve">P7-035</t>
  </si>
  <si>
    <t xml:space="preserve">Waldorfská iniciativa Praha, z. s. (ZŠ Strossmayerovo nám.)</t>
  </si>
  <si>
    <t xml:space="preserve">Stránka spolku na webu školy je aktuální (název, e-mail výboru, činnosti), ale neobsahuje nic datovaného a vyhledávání nenašlo aktivitu za posledních 12 měsíců – podle pravidla jen středně důvěryhodný doklad. Název školy je v průvodci useknutý („při ZŠ Stross“) – opravit.</t>
  </si>
  <si>
    <t xml:space="preserve">name: Waldorfská iniciativa Praha, z.s. (při ZŠ Strossmayerovo nám. 4, Letohradský program); contact: vyborspolku@googlegroups.com (skupinový e-mail výboru)</t>
  </si>
  <si>
    <t xml:space="preserve">https://www.zsstross.cz/letohradsk%C3%BD-program/spolek-rodi%C4%8D%C5%AF – oficiální název, e-mail výboru, popis činností, bez dat (checked 2026-10-02) | https://www.zsstross.cz – Letohradský program stále existuje (checked 2026-10-02) | https://www.map2praha7.cz/spolky-pri-zs/ – 403 (checked 2026-10-02) | WebSearch '"Waldorfská iniciativa Praha" 2026 OR 2025' – nic relevantního (checked 2026-10-02)</t>
  </si>
  <si>
    <t xml:space="preserve">P7-036</t>
  </si>
  <si>
    <t xml:space="preserve">Spolek Korunka (ZŠ Korunovační)</t>
  </si>
  <si>
    <t xml:space="preserve">Spolek je aktivní – praha7.cz 9. 4. 2026 ohlašuje 9. ročník charitativního bazaru, který Spolek Korunka pořádá se ZŠ Korunovační 25. 4. 2026, a uvádí web www.spolekkorunka.cz. Údaje v průvodci jsou v pořádku.</t>
  </si>
  <si>
    <t xml:space="preserve">contact (doplnit): spolekkorunka@seznam.cz (e-mail spolku); poznámka: obsah webu je i na spolek-korunka.webnode.cz</t>
  </si>
  <si>
    <t xml:space="preserve">https://www.praha7.cz/charitativni-bazar-v-zs-korunovacni-v-sobotu-25-dubna/ – 9. charitativní bazar 25. 4. 2026, pořádá Spolek Korunka a ZŠ Korunovační, web spolekkorunka.cz, publikováno 9. 4. 2026 (checked 2026-10-02) | https://spolek-korunka.webnode.cz/akce/ – 8. bazar 26. 4. 2025, e-mail spolku (checked 2026-10-02) | https://www.spolekkorunka.cz – stránka se načetla bez obsahu (checked 2026-10-02)</t>
  </si>
  <si>
    <t xml:space="preserve">P7-040</t>
  </si>
  <si>
    <t xml:space="preserve">Spolek rodičů při ZŠ Fr. Plamínkové</t>
  </si>
  <si>
    <t xml:space="preserve">Záznam v průvodci obsahuje jen odkaz www.plaminkova.cz bez popisu; škola podle vyhledávání používá doménu zsplaminkove.cz a spolek má vlastní web na Google Sites, kde není nic datovaného – aktivitu za posledních 12 měsíců nelze doložit. Doplnit popis, místo a způsob zapojení.</t>
  </si>
  <si>
    <t xml:space="preserve">website: https://sites.google.com/view/srpsplaminkova (www.plaminkova.cz ověřit – škola má pravděpodobně zsplaminkove.cz); contact: srps.plaminkova@gmail.com (e-mail spolku); p7_location: ZŠ Františky Plamínkové, Františka Křížka 2, 170 00 Praha 7; operator: Spolek rodičů při ZŠ Fr. Plamínkové, IČO 22738410</t>
  </si>
  <si>
    <t xml:space="preserve">https://sites.google.com/view/srpsplaminkova – název, IČO, škola Františka Křížka 2, e-mail spolku, bez dat (checked 2026-10-02) | https://www.plaminkova.cz – nenačteno (automatický přístup nepovolen) (checked 2026-10-02) | https://www.zsplaminkove.cz/charakteristika-skoly – web školy (doména dle vyhledávání), nenačten (timeout) (checked 2026-10-02) | WebSearch '"Spolek rodičů" ZŠ Františky Plamínkové' a '"plaminkova.cz"' – plaminkova.cz se ve výsledcích neobjevuje (checked 2026-10-02)</t>
  </si>
  <si>
    <t xml:space="preserve">P7-045</t>
  </si>
  <si>
    <t xml:space="preserve">Holešovická parta</t>
  </si>
  <si>
    <t xml:space="preserve">Jde jen o facebookovou skupinu, aktivitu nelze automaticky ověřit (R-001). Průvodce neuvádí odkaz na skupinu ani jak se přidat.</t>
  </si>
  <si>
    <t xml:space="preserve">https://www.praha7.cz/volny-cas-prehled/sousedskespolkyprahy7/ – municipality recommends sharing invitations in 'Letenská parta, Holešovická parta'; page undated, does not prove current activity (checked 2026-10-02)</t>
  </si>
  <si>
    <t xml:space="preserve">P7-046</t>
  </si>
  <si>
    <t xml:space="preserve">Mámy a tátové Praha 7</t>
  </si>
  <si>
    <t xml:space="preserve">Jde jen o facebookovou skupinu, mimo Facebook nebyla nalezena žádná stopa (R-001). Průvodce neuvádí odkaz ani jak se přidat.</t>
  </si>
  <si>
    <t xml:space="preserve">WebSearch "Mámy a tátové Praha 7" – no relevant non-Facebook result (checked 2026-10-02)</t>
  </si>
  <si>
    <t xml:space="preserve">P7-047</t>
  </si>
  <si>
    <t xml:space="preserve">Babičky ze Sedmičky</t>
  </si>
  <si>
    <t xml:space="preserve">Jde jen o facebookovou skupinu bez jakékoli stopy mimo Facebook (R-001); text „nově vznikající skupina“ je časově vázaný a může být neaktuální. Hned pod záznamem je v průvodci zástupný text „Více na straně X“ (R-005).</t>
  </si>
  <si>
    <t xml:space="preserve">description: odstranit „nově vznikající“ po ověření; contact: doplnit odkaz na FB skupinu (ruční kontrola)</t>
  </si>
  <si>
    <t xml:space="preserve">WebSearch "Babičky ze Sedmičky" – no relevant result at all (checked 2026-10-02)</t>
  </si>
  <si>
    <t xml:space="preserve">P7-048</t>
  </si>
  <si>
    <t xml:space="preserve">Sousedé darují Praha 7</t>
  </si>
  <si>
    <t xml:space="preserve">Jde jen o facebookovou skupinu, aktivitu nelze automaticky ověřit (R-001). Text odkazuje na „stranu 46“ tištěného průvodce, což v databázi nedává smysl; chybí odkaz na skupinu.</t>
  </si>
  <si>
    <t xml:space="preserve">description: nahradit odkaz „na straně 46“ odkazem na kapitolu Sociální sítě; contact: doplnit odkaz na FB skupinu</t>
  </si>
  <si>
    <t xml:space="preserve">WebSearch "Sousedé darují" Praha 7 – no relevant non-Facebook result (checked 2026-10-02)</t>
  </si>
  <si>
    <t xml:space="preserve">P7-049</t>
  </si>
  <si>
    <t xml:space="preserve">Online Swap Praha 7</t>
  </si>
  <si>
    <t xml:space="preserve">Jde jen o facebookovou skupinu, mimo Facebook nebyla nalezena žádná stopa (R-001). Chybí odkaz na skupinu a informace, jak se přidat.</t>
  </si>
  <si>
    <t xml:space="preserve">WebSearch "Online Swap Praha 7" – no relevant result (checked 2026-10-02)</t>
  </si>
  <si>
    <t xml:space="preserve">P7-050</t>
  </si>
  <si>
    <t xml:space="preserve">SWAP PRAGUE 7</t>
  </si>
  <si>
    <t xml:space="preserve">WebSearch "SWAP PRAGUE 7" OR "Swap Praha 7" 2026 – no relevant result (checked 2026-10-02)</t>
  </si>
  <si>
    <t xml:space="preserve">P7-053</t>
  </si>
  <si>
    <t xml:space="preserve">Františkovy lásky (Bio Oko)</t>
  </si>
  <si>
    <t xml:space="preserve">Poslední doložený ročník je 1. 5. 2025 (praha7.cz), o ročníku 2026 jsme nenašli nic; text „letos přiživí lásku sousedskou“ je časově vázaný. Chybí přesné místo (ulice Františka Křížka), čas a kontakt.</t>
  </si>
  <si>
    <t xml:space="preserve">p7_location; hours; contact</t>
  </si>
  <si>
    <t xml:space="preserve">p7_location: ulice Františka Křížka, Letná; hours: každoročně 1. května, 2025 13:00–18:00 (program do 19:00); contact: web Bio Oko (doplnit URL po ověření); description: odstranit „letos“</t>
  </si>
  <si>
    <t xml:space="preserve">https://www.praha7.cz/frantiskovy-lasky-1-kvetna-v-ulici-frantiska-krizka/ – 2025 edition (1 May 2025), organiser Bio Oko, Františka Křížka, 13–18 h, published 25 Apr 2025 (checked 2026-10-02) | https://www.kudyznudy.cz/akce/frantiskovy-lasky – lists only 2022 edition, 'no confirmed new date' (checked 2026-10-02) | WebSearch "Františkovy lásky" 2026 – no 2026 listing found (checked 2026-10-02)</t>
  </si>
  <si>
    <t xml:space="preserve">P7-054</t>
  </si>
  <si>
    <t xml:space="preserve">Holešovický ples</t>
  </si>
  <si>
    <t xml:space="preserve">Nenašli jsme žádný doklad o ročníku plesu v posledních 12 měsících (poslední stopa je stránka praha7.cz „Holešovický ples 2022“) ani o spoluúčasti Prazeleniny. Chybí místo, termín a kontakt.</t>
  </si>
  <si>
    <t xml:space="preserve">—</t>
  </si>
  <si>
    <t xml:space="preserve">https://www.praha7.cz/holesovicky-ples/ – search result titled 'Holešovický ples 2022' (not opened) (checked 2026-10-02) | https://www.praha7.cz/potrebuji-zaridit/dotace/individualni-dotace/vysledky-oblast-kultury/ – grants 2015–2026: only 'Holešovický ples 2017' to Dolní Holešovice, z.s.; nothing later (checked 2026-10-02) | https://goout.net/cs/holesovicky-ples/szfgjee/ – 404 (checked 2026-10-02)</t>
  </si>
  <si>
    <t xml:space="preserve">P7-055</t>
  </si>
  <si>
    <t xml:space="preserve">Letenský masopust</t>
  </si>
  <si>
    <t xml:space="preserve">Akce je aktivní – poslední ročník 24. 1. 2026, průvod skutečně obchází kulturní instituce (NTM, NZM). Záznamu chybí pořadatel, termín, místo startu a kontakt.</t>
  </si>
  <si>
    <t xml:space="preserve">organiser; hours; p7_location; contact</t>
  </si>
  <si>
    <t xml:space="preserve">organiser: divadelní spolek Ty-já-tr a Národní zemědělské muzeum; hours: každoročně v lednu/únoru (2026: so 24. 1.); p7_location: start Strossmayerovo nám. (u kostela sv. Antonína) → NTM → NZM; contact: https://www.nzm.cz</t>
  </si>
  <si>
    <t xml:space="preserve">https://www.praha7.cz/letensky-masopust-24-ledna-2026/ – 2026 edition, organisers Ty-já-tr + NZM, route Strossmayerovo nám. → NTM → NZM, published 20 Jan 2026 (checked 2026-10-02) | https://www.nzm.cz/aktualne-v-muzeu/akce/letenske-prase-a-letensky-masopust-v-sobotu-24-ledna-2026 – NZM listing (search result) (checked 2026-10-02)</t>
  </si>
  <si>
    <t xml:space="preserve">P7-062</t>
  </si>
  <si>
    <t xml:space="preserve">Oblastní spolek ČČK Praha 7</t>
  </si>
  <si>
    <t xml:space="preserve">Web spolku nemá nic novějšího než 2020 a v posledních 12 měsících jsme nenašli žádný doklad činnosti ošacovacího střediska. Chybí adresa/otevírací doba střediska a jak se zapojit.</t>
  </si>
  <si>
    <t xml:space="preserve">p7_location; hours; how_to_join</t>
  </si>
  <si>
    <t xml:space="preserve">p7_location: sídlo Janovského 29, Praha 7 (adresa ošacovacího střediska neuvedena); contact: praha7@cervenykriz.eu (organizační e-mail)</t>
  </si>
  <si>
    <t xml:space="preserve">https://www.cckpraha7.cz/ – org page, Janovského 29, clothing centre mentioned without address/hours, latest dated item 30 Oct 2020 (checked 2026-10-02) | https://www.cervenykriz.eu/oblastnispolky/59/os-cck-praha-7 – national directory (search result, existence only) (checked 2026-10-02) | WebSearch site:praha7.cz Červený kříž – nothing relevant (checked 2026-10-02)</t>
  </si>
  <si>
    <t xml:space="preserve">P7-064</t>
  </si>
  <si>
    <t xml:space="preserve">Zavěšené kafe – Coffeeshare</t>
  </si>
  <si>
    <t xml:space="preserve">Web coffeeshare.cz automatizovaný přístup blokuje (HTTP 429), aktivitu ani seznam kaváren na Praze 7 nelze ověřit. Chybí provozovatel a konkrétní kavárny na Praze 7.</t>
  </si>
  <si>
    <t xml:space="preserve">https://www.coffeeshare.cz/ – HTTP 429 twice; search snippet only ('coffeeshare - podělte se o kávu!') (checked 2026-10-02) | https://plus.rozhlas.cz/podelte-se-o-kavu-s-temi-kdo-si-ji-nemohou-dovolit-venujte-jim-zavesene-kafe-6521877 – older radio piece (search result, undated) (checked 2026-10-02)</t>
  </si>
  <si>
    <t xml:space="preserve">#</t>
  </si>
  <si>
    <t xml:space="preserve">Problém (z dnešního běhu)</t>
  </si>
  <si>
    <t xml:space="preserve">Návrh</t>
  </si>
  <si>
    <t xml:space="preserve">Schválit? (ano/ne)</t>
  </si>
  <si>
    <t xml:space="preserve">N-1</t>
  </si>
  <si>
    <t xml:space="preserve">Dvě dávky narazily na rozpor v zadání: krok 6 říká, že nedatovaná stránka obchodu je důkaz se střední důvěrou, ale rozhodovací pravidlo pro „verified“ chce zdroj s vysokou důvěrou (P7-041, P7-060, P7-065, P7-067).</t>
  </si>
  <si>
    <t xml:space="preserve">Doplnit rozhodovací pravidlo: pro obchody, služby a městské instituce stačí aktuální vlastní stránka služby (adresa + otevírací doba) + jeden další zdroj se střední důvěrou.</t>
  </si>
  <si>
    <t xml:space="preserve">N-2</t>
  </si>
  <si>
    <t xml:space="preserve">38 z 51 záznamů je needs_check. Hlavní příčina už není úsudek agenta, ale přístup: weby blokují automatické čtení (Elpida, rcletna.cz, sokol-bubenec.cz…) a 14 záznamů jsou čistě facebookové skupiny.</t>
  </si>
  <si>
    <t xml:space="preserve">Nepřidávat další pravidla pro agenta. needs_check posílat rovnou do výzvy e-mailem (Pisatel výzev) a pro blokované weby zavést 1minutovou ruční kontrolu ve frontě.</t>
  </si>
  <si>
    <t xml:space="preserve">N-3</t>
  </si>
  <si>
    <t xml:space="preserve">Agenti počítají dotazy různě (dávka 2 započítala sdílené dotazy vícekrát; neúspěšná načtení se počítají).</t>
  </si>
  <si>
    <t xml:space="preserve">Sjednotit: lookups = počet volání WebSearch/WebFetch včetně neúspěšných; sdílený dotaz se počítá u prvního záznamu.</t>
  </si>
  <si>
    <t xml:space="preserve">N-4</t>
  </si>
  <si>
    <t xml:space="preserve">Průvodce i web MČ zveřejňují soukromé mobily koordinátorů a jednotlivců (P7-015, P7-024–028).</t>
  </si>
  <si>
    <t xml:space="preserve">Nové pravidlo R-103: agent osobní kontakty nikdy nepřebírá ani ze zdánlivě „oficiálních“ zdrojů; nahlásí je PM jako riziko.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</si>
</sst>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General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2F5D50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F5D5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DEBF7"/>
        </patternFill>
      </fill>
    </dxf>
    <dxf>
      <fill>
        <patternFill>
          <bgColor rgb="FFEE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  <c r="B9" s="3"/>
    </row>
    <row r="10" customFormat="false" ht="15" hidden="false" customHeight="false" outlineLevel="0" collapsed="false">
      <c r="A10" s="2" t="s">
        <v>7</v>
      </c>
      <c r="B10" s="3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2" t="s">
        <v>9</v>
      </c>
      <c r="B13" s="5" t="n">
        <f aca="false">COUNTA(Fronta!B2:B52)</f>
        <v>51</v>
      </c>
    </row>
    <row r="14" customFormat="false" ht="15" hidden="false" customHeight="false" outlineLevel="0" collapsed="false">
      <c r="A14" s="2" t="s">
        <v>10</v>
      </c>
      <c r="B14" s="5" t="n">
        <f aca="false">COUNTIF(Fronta!A2:A52,"A")</f>
        <v>9</v>
      </c>
    </row>
    <row r="15" customFormat="false" ht="15" hidden="false" customHeight="false" outlineLevel="0" collapsed="false">
      <c r="A15" s="2" t="s">
        <v>11</v>
      </c>
      <c r="B15" s="5" t="n">
        <f aca="false">COUNTIF(Fronta!A2:A52,"B")</f>
        <v>11</v>
      </c>
    </row>
    <row r="16" customFormat="false" ht="15" hidden="false" customHeight="false" outlineLevel="0" collapsed="false">
      <c r="A16" s="2" t="s">
        <v>12</v>
      </c>
      <c r="B16" s="5" t="n">
        <f aca="false">COUNTIF(Fronta!A2:A52,"C")</f>
        <v>9</v>
      </c>
    </row>
    <row r="17" customFormat="false" ht="15" hidden="false" customHeight="false" outlineLevel="0" collapsed="false">
      <c r="A17" s="2" t="s">
        <v>13</v>
      </c>
      <c r="B17" s="5" t="n">
        <f aca="false">COUNTIF(Fronta!A2:A52,"D")</f>
        <v>22</v>
      </c>
    </row>
    <row r="18" customFormat="false" ht="15" hidden="false" customHeight="false" outlineLevel="0" collapsed="false">
      <c r="A18" s="2" t="s">
        <v>14</v>
      </c>
      <c r="B18" s="5" t="n">
        <f aca="false">COUNTA(Fronta!L2:L52)</f>
        <v>0</v>
      </c>
    </row>
    <row r="19" customFormat="false" ht="15" hidden="false" customHeight="false" outlineLevel="0" collapsed="false">
      <c r="A19" s="2" t="s">
        <v>15</v>
      </c>
      <c r="B19" s="5" t="n">
        <f aca="false">COUNTIF(Fronta!L2:L52,"Opravit")</f>
        <v>0</v>
      </c>
    </row>
    <row r="20" customFormat="false" ht="15" hidden="false" customHeight="false" outlineLevel="0" collapsed="false">
      <c r="A20" s="2" t="s">
        <v>16</v>
      </c>
      <c r="B20" s="6" t="str">
        <f aca="false">IF(B18=0,"",B19/B18)</f>
        <v/>
      </c>
    </row>
    <row r="21" customFormat="false" ht="15" hidden="false" customHeight="false" outlineLevel="0" collapsed="false">
      <c r="A21" s="2" t="s">
        <v>17</v>
      </c>
      <c r="B21" s="5" t="str">
        <f aca="false">IF(OR(B9="",B10=""),"",ROUND((B10-B9)*1440,0))</f>
        <v/>
      </c>
    </row>
    <row r="23" customFormat="false" ht="15" hidden="false" customHeight="false" outlineLevel="0" collapsed="false">
      <c r="A23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50"/>
    <col collapsed="false" customWidth="true" hidden="false" outlineLevel="0" max="8" min="8" style="0" width="22"/>
    <col collapsed="false" customWidth="true" hidden="false" outlineLevel="0" max="9" min="9" style="0" width="36"/>
    <col collapsed="false" customWidth="true" hidden="false" outlineLevel="0" max="11" min="10" style="0" width="50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34"/>
  </cols>
  <sheetData>
    <row r="1" customFormat="false" ht="35.05" hidden="false" customHeight="false" outlineLevel="0" collapsed="false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</row>
    <row r="2" customFormat="false" ht="102.2" hidden="false" customHeight="false" outlineLevel="0" collapsed="false">
      <c r="A2" s="9" t="s">
        <v>33</v>
      </c>
      <c r="B2" s="9" t="s">
        <v>34</v>
      </c>
      <c r="C2" s="9" t="s">
        <v>35</v>
      </c>
      <c r="D2" s="9" t="s">
        <v>36</v>
      </c>
      <c r="E2" s="9" t="s">
        <v>37</v>
      </c>
      <c r="F2" s="9" t="s">
        <v>36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  <c r="L2" s="10"/>
      <c r="M2" s="10"/>
      <c r="N2" s="10"/>
    </row>
    <row r="3" customFormat="false" ht="102.2" hidden="false" customHeight="false" outlineLevel="0" collapsed="false">
      <c r="A3" s="9" t="s">
        <v>33</v>
      </c>
      <c r="B3" s="9" t="s">
        <v>43</v>
      </c>
      <c r="C3" s="9" t="s">
        <v>44</v>
      </c>
      <c r="D3" s="9" t="s">
        <v>36</v>
      </c>
      <c r="E3" s="9" t="s">
        <v>37</v>
      </c>
      <c r="F3" s="9" t="s">
        <v>36</v>
      </c>
      <c r="G3" s="9" t="s">
        <v>45</v>
      </c>
      <c r="H3" s="9"/>
      <c r="I3" s="9" t="s">
        <v>46</v>
      </c>
      <c r="J3" s="9" t="s">
        <v>47</v>
      </c>
      <c r="K3" s="9" t="s">
        <v>48</v>
      </c>
      <c r="L3" s="10"/>
      <c r="M3" s="10"/>
      <c r="N3" s="10"/>
    </row>
    <row r="4" customFormat="false" ht="57.45" hidden="false" customHeight="false" outlineLevel="0" collapsed="false">
      <c r="A4" s="9" t="s">
        <v>33</v>
      </c>
      <c r="B4" s="9" t="s">
        <v>49</v>
      </c>
      <c r="C4" s="9" t="s">
        <v>50</v>
      </c>
      <c r="D4" s="9" t="s">
        <v>36</v>
      </c>
      <c r="E4" s="9" t="s">
        <v>37</v>
      </c>
      <c r="F4" s="9" t="s">
        <v>36</v>
      </c>
      <c r="G4" s="9" t="s">
        <v>51</v>
      </c>
      <c r="H4" s="9" t="s">
        <v>52</v>
      </c>
      <c r="I4" s="9" t="s">
        <v>53</v>
      </c>
      <c r="J4" s="9" t="s">
        <v>54</v>
      </c>
      <c r="K4" s="9" t="s">
        <v>55</v>
      </c>
      <c r="L4" s="10"/>
      <c r="M4" s="10"/>
      <c r="N4" s="10"/>
    </row>
    <row r="5" customFormat="false" ht="158.2" hidden="false" customHeight="false" outlineLevel="0" collapsed="false">
      <c r="A5" s="9" t="s">
        <v>33</v>
      </c>
      <c r="B5" s="9" t="s">
        <v>56</v>
      </c>
      <c r="C5" s="9" t="s">
        <v>57</v>
      </c>
      <c r="D5" s="9" t="s">
        <v>36</v>
      </c>
      <c r="E5" s="9" t="s">
        <v>37</v>
      </c>
      <c r="F5" s="9" t="s">
        <v>36</v>
      </c>
      <c r="G5" s="9" t="s">
        <v>58</v>
      </c>
      <c r="H5" s="9" t="s">
        <v>59</v>
      </c>
      <c r="I5" s="9" t="s">
        <v>60</v>
      </c>
      <c r="J5" s="9" t="s">
        <v>61</v>
      </c>
      <c r="K5" s="9" t="s">
        <v>62</v>
      </c>
      <c r="L5" s="10"/>
      <c r="M5" s="10"/>
      <c r="N5" s="10"/>
    </row>
    <row r="6" customFormat="false" ht="158.2" hidden="false" customHeight="false" outlineLevel="0" collapsed="false">
      <c r="A6" s="9" t="s">
        <v>33</v>
      </c>
      <c r="B6" s="9" t="s">
        <v>63</v>
      </c>
      <c r="C6" s="9" t="s">
        <v>64</v>
      </c>
      <c r="D6" s="9" t="s">
        <v>36</v>
      </c>
      <c r="E6" s="9" t="s">
        <v>37</v>
      </c>
      <c r="F6" s="9" t="s">
        <v>36</v>
      </c>
      <c r="G6" s="9" t="s">
        <v>65</v>
      </c>
      <c r="H6" s="9" t="s">
        <v>59</v>
      </c>
      <c r="I6" s="9" t="s">
        <v>66</v>
      </c>
      <c r="J6" s="9" t="s">
        <v>67</v>
      </c>
      <c r="K6" s="9" t="s">
        <v>62</v>
      </c>
      <c r="L6" s="10"/>
      <c r="M6" s="10"/>
      <c r="N6" s="10"/>
    </row>
    <row r="7" customFormat="false" ht="135.8" hidden="false" customHeight="false" outlineLevel="0" collapsed="false">
      <c r="A7" s="9" t="s">
        <v>33</v>
      </c>
      <c r="B7" s="9" t="s">
        <v>68</v>
      </c>
      <c r="C7" s="9" t="s">
        <v>69</v>
      </c>
      <c r="D7" s="9" t="s">
        <v>36</v>
      </c>
      <c r="E7" s="9" t="s">
        <v>37</v>
      </c>
      <c r="F7" s="9" t="s">
        <v>36</v>
      </c>
      <c r="G7" s="9" t="s">
        <v>70</v>
      </c>
      <c r="H7" s="9" t="s">
        <v>59</v>
      </c>
      <c r="I7" s="9" t="s">
        <v>71</v>
      </c>
      <c r="J7" s="9" t="s">
        <v>72</v>
      </c>
      <c r="K7" s="9" t="s">
        <v>62</v>
      </c>
      <c r="L7" s="10"/>
      <c r="M7" s="10"/>
      <c r="N7" s="10"/>
    </row>
    <row r="8" customFormat="false" ht="124.6" hidden="false" customHeight="false" outlineLevel="0" collapsed="false">
      <c r="A8" s="9" t="s">
        <v>33</v>
      </c>
      <c r="B8" s="9" t="s">
        <v>73</v>
      </c>
      <c r="C8" s="9" t="s">
        <v>74</v>
      </c>
      <c r="D8" s="9" t="s">
        <v>36</v>
      </c>
      <c r="E8" s="9" t="s">
        <v>37</v>
      </c>
      <c r="F8" s="9" t="s">
        <v>36</v>
      </c>
      <c r="G8" s="9" t="s">
        <v>75</v>
      </c>
      <c r="H8" s="9" t="s">
        <v>59</v>
      </c>
      <c r="I8" s="9" t="s">
        <v>76</v>
      </c>
      <c r="J8" s="9" t="s">
        <v>77</v>
      </c>
      <c r="K8" s="9" t="s">
        <v>62</v>
      </c>
      <c r="L8" s="10"/>
      <c r="M8" s="10"/>
      <c r="N8" s="10"/>
    </row>
    <row r="9" customFormat="false" ht="124.6" hidden="false" customHeight="false" outlineLevel="0" collapsed="false">
      <c r="A9" s="9" t="s">
        <v>33</v>
      </c>
      <c r="B9" s="9" t="s">
        <v>78</v>
      </c>
      <c r="C9" s="9" t="s">
        <v>79</v>
      </c>
      <c r="D9" s="9" t="s">
        <v>36</v>
      </c>
      <c r="E9" s="9" t="s">
        <v>37</v>
      </c>
      <c r="F9" s="9" t="s">
        <v>36</v>
      </c>
      <c r="G9" s="9" t="s">
        <v>80</v>
      </c>
      <c r="H9" s="9" t="s">
        <v>59</v>
      </c>
      <c r="I9" s="9" t="s">
        <v>81</v>
      </c>
      <c r="J9" s="9" t="s">
        <v>82</v>
      </c>
      <c r="K9" s="9" t="s">
        <v>62</v>
      </c>
      <c r="L9" s="10"/>
      <c r="M9" s="10"/>
      <c r="N9" s="10"/>
    </row>
    <row r="10" customFormat="false" ht="79.85" hidden="false" customHeight="false" outlineLevel="0" collapsed="false">
      <c r="A10" s="9" t="s">
        <v>33</v>
      </c>
      <c r="B10" s="9" t="s">
        <v>83</v>
      </c>
      <c r="C10" s="9" t="s">
        <v>84</v>
      </c>
      <c r="D10" s="9" t="s">
        <v>36</v>
      </c>
      <c r="E10" s="9" t="s">
        <v>37</v>
      </c>
      <c r="F10" s="9" t="s">
        <v>36</v>
      </c>
      <c r="G10" s="9" t="s">
        <v>85</v>
      </c>
      <c r="H10" s="9" t="s">
        <v>86</v>
      </c>
      <c r="I10" s="9" t="s">
        <v>87</v>
      </c>
      <c r="J10" s="9" t="s">
        <v>88</v>
      </c>
      <c r="K10" s="9" t="s">
        <v>89</v>
      </c>
      <c r="L10" s="10"/>
      <c r="M10" s="10"/>
      <c r="N10" s="10"/>
    </row>
    <row r="11" customFormat="false" ht="135.8" hidden="false" customHeight="false" outlineLevel="0" collapsed="false">
      <c r="A11" s="9" t="s">
        <v>90</v>
      </c>
      <c r="B11" s="9" t="s">
        <v>91</v>
      </c>
      <c r="C11" s="9" t="s">
        <v>92</v>
      </c>
      <c r="D11" s="9" t="s">
        <v>36</v>
      </c>
      <c r="E11" s="9" t="s">
        <v>37</v>
      </c>
      <c r="F11" s="9" t="s">
        <v>93</v>
      </c>
      <c r="G11" s="9" t="s">
        <v>94</v>
      </c>
      <c r="H11" s="9" t="s">
        <v>95</v>
      </c>
      <c r="I11" s="9" t="s">
        <v>96</v>
      </c>
      <c r="J11" s="9" t="s">
        <v>97</v>
      </c>
      <c r="K11" s="9" t="s">
        <v>98</v>
      </c>
      <c r="L11" s="10"/>
      <c r="M11" s="10"/>
      <c r="N11" s="10"/>
    </row>
    <row r="12" customFormat="false" ht="102.2" hidden="false" customHeight="false" outlineLevel="0" collapsed="false">
      <c r="A12" s="9" t="s">
        <v>90</v>
      </c>
      <c r="B12" s="9" t="s">
        <v>99</v>
      </c>
      <c r="C12" s="9" t="s">
        <v>100</v>
      </c>
      <c r="D12" s="9" t="s">
        <v>36</v>
      </c>
      <c r="E12" s="9" t="s">
        <v>37</v>
      </c>
      <c r="F12" s="9" t="s">
        <v>93</v>
      </c>
      <c r="G12" s="9" t="s">
        <v>101</v>
      </c>
      <c r="H12" s="9" t="s">
        <v>102</v>
      </c>
      <c r="I12" s="9" t="s">
        <v>103</v>
      </c>
      <c r="J12" s="9" t="s">
        <v>104</v>
      </c>
      <c r="K12" s="9" t="s">
        <v>105</v>
      </c>
      <c r="L12" s="10"/>
      <c r="M12" s="10"/>
      <c r="N12" s="10"/>
    </row>
    <row r="13" customFormat="false" ht="124.6" hidden="false" customHeight="false" outlineLevel="0" collapsed="false">
      <c r="A13" s="9" t="s">
        <v>90</v>
      </c>
      <c r="B13" s="9" t="s">
        <v>106</v>
      </c>
      <c r="C13" s="9" t="s">
        <v>107</v>
      </c>
      <c r="D13" s="9" t="s">
        <v>36</v>
      </c>
      <c r="E13" s="9" t="s">
        <v>37</v>
      </c>
      <c r="F13" s="9" t="s">
        <v>93</v>
      </c>
      <c r="G13" s="9" t="s">
        <v>108</v>
      </c>
      <c r="H13" s="9" t="s">
        <v>109</v>
      </c>
      <c r="I13" s="9" t="s">
        <v>110</v>
      </c>
      <c r="J13" s="9" t="s">
        <v>111</v>
      </c>
      <c r="K13" s="9" t="s">
        <v>112</v>
      </c>
      <c r="L13" s="10"/>
      <c r="M13" s="10"/>
      <c r="N13" s="10"/>
    </row>
    <row r="14" customFormat="false" ht="124.6" hidden="false" customHeight="false" outlineLevel="0" collapsed="false">
      <c r="A14" s="9" t="s">
        <v>90</v>
      </c>
      <c r="B14" s="9" t="s">
        <v>113</v>
      </c>
      <c r="C14" s="9" t="s">
        <v>114</v>
      </c>
      <c r="D14" s="9" t="s">
        <v>115</v>
      </c>
      <c r="E14" s="9" t="s">
        <v>116</v>
      </c>
      <c r="F14" s="9" t="s">
        <v>36</v>
      </c>
      <c r="G14" s="9" t="s">
        <v>117</v>
      </c>
      <c r="H14" s="9" t="s">
        <v>118</v>
      </c>
      <c r="I14" s="9" t="s">
        <v>119</v>
      </c>
      <c r="J14" s="9" t="s">
        <v>120</v>
      </c>
      <c r="K14" s="9" t="s">
        <v>121</v>
      </c>
      <c r="L14" s="10"/>
      <c r="M14" s="10"/>
      <c r="N14" s="10"/>
    </row>
    <row r="15" customFormat="false" ht="91" hidden="false" customHeight="false" outlineLevel="0" collapsed="false">
      <c r="A15" s="9" t="s">
        <v>90</v>
      </c>
      <c r="B15" s="9" t="s">
        <v>122</v>
      </c>
      <c r="C15" s="9" t="s">
        <v>123</v>
      </c>
      <c r="D15" s="9" t="s">
        <v>115</v>
      </c>
      <c r="E15" s="9" t="s">
        <v>116</v>
      </c>
      <c r="F15" s="9" t="s">
        <v>36</v>
      </c>
      <c r="G15" s="9" t="s">
        <v>124</v>
      </c>
      <c r="H15" s="9" t="s">
        <v>125</v>
      </c>
      <c r="I15" s="9" t="s">
        <v>126</v>
      </c>
      <c r="J15" s="9" t="s">
        <v>127</v>
      </c>
      <c r="K15" s="9" t="s">
        <v>121</v>
      </c>
      <c r="L15" s="10"/>
      <c r="M15" s="10"/>
      <c r="N15" s="10"/>
    </row>
    <row r="16" customFormat="false" ht="124.6" hidden="false" customHeight="false" outlineLevel="0" collapsed="false">
      <c r="A16" s="9" t="s">
        <v>90</v>
      </c>
      <c r="B16" s="9" t="s">
        <v>128</v>
      </c>
      <c r="C16" s="9" t="s">
        <v>129</v>
      </c>
      <c r="D16" s="9" t="s">
        <v>115</v>
      </c>
      <c r="E16" s="9" t="s">
        <v>116</v>
      </c>
      <c r="F16" s="9" t="s">
        <v>36</v>
      </c>
      <c r="G16" s="9" t="s">
        <v>130</v>
      </c>
      <c r="H16" s="9" t="s">
        <v>131</v>
      </c>
      <c r="I16" s="9" t="s">
        <v>132</v>
      </c>
      <c r="J16" s="9" t="s">
        <v>133</v>
      </c>
      <c r="K16" s="9" t="s">
        <v>134</v>
      </c>
      <c r="L16" s="10"/>
      <c r="M16" s="10"/>
      <c r="N16" s="10"/>
    </row>
    <row r="17" customFormat="false" ht="68.65" hidden="false" customHeight="false" outlineLevel="0" collapsed="false">
      <c r="A17" s="9" t="s">
        <v>90</v>
      </c>
      <c r="B17" s="9" t="s">
        <v>135</v>
      </c>
      <c r="C17" s="9" t="s">
        <v>136</v>
      </c>
      <c r="D17" s="9" t="s">
        <v>115</v>
      </c>
      <c r="E17" s="9" t="s">
        <v>137</v>
      </c>
      <c r="F17" s="9" t="s">
        <v>36</v>
      </c>
      <c r="G17" s="9" t="s">
        <v>138</v>
      </c>
      <c r="H17" s="9" t="s">
        <v>39</v>
      </c>
      <c r="I17" s="9" t="s">
        <v>139</v>
      </c>
      <c r="J17" s="9" t="s">
        <v>140</v>
      </c>
      <c r="K17" s="9" t="s">
        <v>141</v>
      </c>
      <c r="L17" s="10"/>
      <c r="M17" s="10"/>
      <c r="N17" s="10"/>
    </row>
    <row r="18" customFormat="false" ht="91" hidden="false" customHeight="false" outlineLevel="0" collapsed="false">
      <c r="A18" s="9" t="s">
        <v>90</v>
      </c>
      <c r="B18" s="9" t="s">
        <v>142</v>
      </c>
      <c r="C18" s="9" t="s">
        <v>143</v>
      </c>
      <c r="D18" s="9" t="s">
        <v>115</v>
      </c>
      <c r="E18" s="9" t="s">
        <v>116</v>
      </c>
      <c r="F18" s="9" t="s">
        <v>36</v>
      </c>
      <c r="G18" s="9" t="s">
        <v>144</v>
      </c>
      <c r="H18" s="9" t="s">
        <v>118</v>
      </c>
      <c r="I18" s="9" t="s">
        <v>145</v>
      </c>
      <c r="J18" s="9" t="s">
        <v>146</v>
      </c>
      <c r="K18" s="9" t="s">
        <v>147</v>
      </c>
      <c r="L18" s="10"/>
      <c r="M18" s="10"/>
      <c r="N18" s="10"/>
    </row>
    <row r="19" customFormat="false" ht="91" hidden="false" customHeight="false" outlineLevel="0" collapsed="false">
      <c r="A19" s="9" t="s">
        <v>90</v>
      </c>
      <c r="B19" s="9" t="s">
        <v>148</v>
      </c>
      <c r="C19" s="9" t="s">
        <v>149</v>
      </c>
      <c r="D19" s="9" t="s">
        <v>36</v>
      </c>
      <c r="E19" s="9" t="s">
        <v>116</v>
      </c>
      <c r="F19" s="9" t="s">
        <v>93</v>
      </c>
      <c r="G19" s="9" t="s">
        <v>150</v>
      </c>
      <c r="H19" s="9" t="s">
        <v>151</v>
      </c>
      <c r="I19" s="9" t="s">
        <v>152</v>
      </c>
      <c r="J19" s="9" t="s">
        <v>153</v>
      </c>
      <c r="K19" s="9" t="s">
        <v>154</v>
      </c>
      <c r="L19" s="10"/>
      <c r="M19" s="10"/>
      <c r="N19" s="10"/>
    </row>
    <row r="20" customFormat="false" ht="79.85" hidden="false" customHeight="false" outlineLevel="0" collapsed="false">
      <c r="A20" s="9" t="s">
        <v>90</v>
      </c>
      <c r="B20" s="9" t="s">
        <v>155</v>
      </c>
      <c r="C20" s="9" t="s">
        <v>156</v>
      </c>
      <c r="D20" s="9" t="s">
        <v>36</v>
      </c>
      <c r="E20" s="9" t="s">
        <v>37</v>
      </c>
      <c r="F20" s="9" t="s">
        <v>93</v>
      </c>
      <c r="G20" s="9" t="s">
        <v>157</v>
      </c>
      <c r="H20" s="9" t="s">
        <v>95</v>
      </c>
      <c r="I20" s="9" t="s">
        <v>158</v>
      </c>
      <c r="J20" s="9" t="s">
        <v>159</v>
      </c>
      <c r="K20" s="9" t="s">
        <v>160</v>
      </c>
      <c r="L20" s="10"/>
      <c r="M20" s="10"/>
      <c r="N20" s="10"/>
    </row>
    <row r="21" customFormat="false" ht="102.2" hidden="false" customHeight="false" outlineLevel="0" collapsed="false">
      <c r="A21" s="9" t="s">
        <v>90</v>
      </c>
      <c r="B21" s="9" t="s">
        <v>161</v>
      </c>
      <c r="C21" s="9" t="s">
        <v>162</v>
      </c>
      <c r="D21" s="9" t="s">
        <v>115</v>
      </c>
      <c r="E21" s="9" t="s">
        <v>116</v>
      </c>
      <c r="F21" s="9" t="s">
        <v>36</v>
      </c>
      <c r="G21" s="9" t="s">
        <v>163</v>
      </c>
      <c r="H21" s="9" t="s">
        <v>109</v>
      </c>
      <c r="I21" s="9" t="s">
        <v>164</v>
      </c>
      <c r="J21" s="9" t="s">
        <v>165</v>
      </c>
      <c r="K21" s="9" t="s">
        <v>166</v>
      </c>
      <c r="L21" s="10"/>
      <c r="M21" s="10"/>
      <c r="N21" s="10"/>
    </row>
    <row r="22" customFormat="false" ht="158.2" hidden="false" customHeight="false" outlineLevel="0" collapsed="false">
      <c r="A22" s="9" t="s">
        <v>167</v>
      </c>
      <c r="B22" s="9" t="s">
        <v>168</v>
      </c>
      <c r="C22" s="9" t="s">
        <v>169</v>
      </c>
      <c r="D22" s="9" t="s">
        <v>93</v>
      </c>
      <c r="E22" s="9" t="s">
        <v>116</v>
      </c>
      <c r="F22" s="9" t="s">
        <v>93</v>
      </c>
      <c r="G22" s="9" t="s">
        <v>170</v>
      </c>
      <c r="H22" s="9" t="s">
        <v>171</v>
      </c>
      <c r="I22" s="9" t="s">
        <v>172</v>
      </c>
      <c r="J22" s="9" t="s">
        <v>173</v>
      </c>
      <c r="K22" s="9" t="s">
        <v>174</v>
      </c>
      <c r="L22" s="10"/>
      <c r="M22" s="10"/>
      <c r="N22" s="10"/>
    </row>
    <row r="23" customFormat="false" ht="158.2" hidden="false" customHeight="false" outlineLevel="0" collapsed="false">
      <c r="A23" s="9" t="s">
        <v>167</v>
      </c>
      <c r="B23" s="9" t="s">
        <v>175</v>
      </c>
      <c r="C23" s="9" t="s">
        <v>176</v>
      </c>
      <c r="D23" s="9" t="s">
        <v>93</v>
      </c>
      <c r="E23" s="9" t="s">
        <v>116</v>
      </c>
      <c r="F23" s="9" t="s">
        <v>93</v>
      </c>
      <c r="G23" s="9" t="s">
        <v>177</v>
      </c>
      <c r="H23" s="9" t="s">
        <v>178</v>
      </c>
      <c r="I23" s="9" t="s">
        <v>179</v>
      </c>
      <c r="J23" s="9" t="s">
        <v>180</v>
      </c>
      <c r="K23" s="9" t="s">
        <v>181</v>
      </c>
      <c r="L23" s="10"/>
      <c r="M23" s="10"/>
      <c r="N23" s="10"/>
    </row>
    <row r="24" customFormat="false" ht="102.2" hidden="false" customHeight="false" outlineLevel="0" collapsed="false">
      <c r="A24" s="9" t="s">
        <v>167</v>
      </c>
      <c r="B24" s="9" t="s">
        <v>182</v>
      </c>
      <c r="C24" s="9" t="s">
        <v>183</v>
      </c>
      <c r="D24" s="9" t="s">
        <v>36</v>
      </c>
      <c r="E24" s="9" t="s">
        <v>37</v>
      </c>
      <c r="F24" s="9" t="s">
        <v>36</v>
      </c>
      <c r="G24" s="9" t="s">
        <v>184</v>
      </c>
      <c r="H24" s="9" t="s">
        <v>185</v>
      </c>
      <c r="I24" s="9" t="s">
        <v>186</v>
      </c>
      <c r="J24" s="9" t="s">
        <v>187</v>
      </c>
      <c r="K24" s="9" t="s">
        <v>188</v>
      </c>
      <c r="L24" s="10"/>
      <c r="M24" s="10"/>
      <c r="N24" s="10"/>
    </row>
    <row r="25" customFormat="false" ht="135.8" hidden="false" customHeight="false" outlineLevel="0" collapsed="false">
      <c r="A25" s="9" t="s">
        <v>167</v>
      </c>
      <c r="B25" s="9" t="s">
        <v>189</v>
      </c>
      <c r="C25" s="9" t="s">
        <v>190</v>
      </c>
      <c r="D25" s="9" t="s">
        <v>36</v>
      </c>
      <c r="E25" s="9" t="s">
        <v>37</v>
      </c>
      <c r="F25" s="9" t="s">
        <v>36</v>
      </c>
      <c r="G25" s="9" t="s">
        <v>191</v>
      </c>
      <c r="H25" s="9" t="s">
        <v>192</v>
      </c>
      <c r="I25" s="9" t="s">
        <v>193</v>
      </c>
      <c r="J25" s="9" t="s">
        <v>194</v>
      </c>
      <c r="K25" s="9" t="s">
        <v>195</v>
      </c>
      <c r="L25" s="10"/>
      <c r="M25" s="10"/>
      <c r="N25" s="10"/>
    </row>
    <row r="26" customFormat="false" ht="102.2" hidden="false" customHeight="false" outlineLevel="0" collapsed="false">
      <c r="A26" s="9" t="s">
        <v>167</v>
      </c>
      <c r="B26" s="9" t="s">
        <v>196</v>
      </c>
      <c r="C26" s="9" t="s">
        <v>197</v>
      </c>
      <c r="D26" s="9" t="s">
        <v>36</v>
      </c>
      <c r="E26" s="9" t="s">
        <v>37</v>
      </c>
      <c r="F26" s="9" t="s">
        <v>36</v>
      </c>
      <c r="G26" s="9" t="s">
        <v>198</v>
      </c>
      <c r="H26" s="9" t="s">
        <v>199</v>
      </c>
      <c r="I26" s="9" t="s">
        <v>200</v>
      </c>
      <c r="J26" s="9" t="s">
        <v>201</v>
      </c>
      <c r="K26" s="9" t="s">
        <v>202</v>
      </c>
      <c r="L26" s="10"/>
      <c r="M26" s="10"/>
      <c r="N26" s="10"/>
    </row>
    <row r="27" customFormat="false" ht="113.4" hidden="false" customHeight="false" outlineLevel="0" collapsed="false">
      <c r="A27" s="9" t="s">
        <v>167</v>
      </c>
      <c r="B27" s="9" t="s">
        <v>203</v>
      </c>
      <c r="C27" s="9" t="s">
        <v>204</v>
      </c>
      <c r="D27" s="9" t="s">
        <v>36</v>
      </c>
      <c r="E27" s="9" t="s">
        <v>37</v>
      </c>
      <c r="F27" s="9" t="s">
        <v>36</v>
      </c>
      <c r="G27" s="9" t="s">
        <v>205</v>
      </c>
      <c r="H27" s="9" t="s">
        <v>118</v>
      </c>
      <c r="I27" s="9" t="s">
        <v>206</v>
      </c>
      <c r="J27" s="9" t="s">
        <v>207</v>
      </c>
      <c r="K27" s="9" t="s">
        <v>208</v>
      </c>
      <c r="L27" s="10"/>
      <c r="M27" s="10"/>
      <c r="N27" s="10"/>
    </row>
    <row r="28" customFormat="false" ht="79.85" hidden="false" customHeight="false" outlineLevel="0" collapsed="false">
      <c r="A28" s="9" t="s">
        <v>167</v>
      </c>
      <c r="B28" s="9" t="s">
        <v>209</v>
      </c>
      <c r="C28" s="9" t="s">
        <v>210</v>
      </c>
      <c r="D28" s="9" t="s">
        <v>36</v>
      </c>
      <c r="E28" s="9" t="s">
        <v>37</v>
      </c>
      <c r="F28" s="9" t="s">
        <v>36</v>
      </c>
      <c r="G28" s="9" t="s">
        <v>211</v>
      </c>
      <c r="H28" s="9" t="s">
        <v>118</v>
      </c>
      <c r="I28" s="9" t="s">
        <v>212</v>
      </c>
      <c r="J28" s="9" t="s">
        <v>213</v>
      </c>
      <c r="K28" s="9" t="s">
        <v>214</v>
      </c>
      <c r="L28" s="10"/>
      <c r="M28" s="10"/>
      <c r="N28" s="10"/>
    </row>
    <row r="29" customFormat="false" ht="91" hidden="false" customHeight="false" outlineLevel="0" collapsed="false">
      <c r="A29" s="9" t="s">
        <v>167</v>
      </c>
      <c r="B29" s="9" t="s">
        <v>215</v>
      </c>
      <c r="C29" s="9" t="s">
        <v>216</v>
      </c>
      <c r="D29" s="9" t="s">
        <v>36</v>
      </c>
      <c r="E29" s="9" t="s">
        <v>116</v>
      </c>
      <c r="F29" s="9" t="s">
        <v>36</v>
      </c>
      <c r="G29" s="9" t="s">
        <v>217</v>
      </c>
      <c r="H29" s="9" t="s">
        <v>218</v>
      </c>
      <c r="I29" s="9" t="s">
        <v>219</v>
      </c>
      <c r="J29" s="9" t="s">
        <v>220</v>
      </c>
      <c r="K29" s="9" t="s">
        <v>221</v>
      </c>
      <c r="L29" s="10"/>
      <c r="M29" s="10"/>
      <c r="N29" s="10"/>
    </row>
    <row r="30" customFormat="false" ht="91" hidden="false" customHeight="false" outlineLevel="0" collapsed="false">
      <c r="A30" s="9" t="s">
        <v>167</v>
      </c>
      <c r="B30" s="9" t="s">
        <v>222</v>
      </c>
      <c r="C30" s="9" t="s">
        <v>223</v>
      </c>
      <c r="D30" s="9" t="s">
        <v>115</v>
      </c>
      <c r="E30" s="9" t="s">
        <v>116</v>
      </c>
      <c r="F30" s="9" t="s">
        <v>93</v>
      </c>
      <c r="G30" s="9" t="s">
        <v>224</v>
      </c>
      <c r="H30" s="9" t="s">
        <v>225</v>
      </c>
      <c r="I30" s="9" t="s">
        <v>226</v>
      </c>
      <c r="J30" s="9" t="s">
        <v>227</v>
      </c>
      <c r="K30" s="9" t="s">
        <v>228</v>
      </c>
      <c r="L30" s="10"/>
      <c r="M30" s="10"/>
      <c r="N30" s="10"/>
    </row>
    <row r="31" customFormat="false" ht="113.4" hidden="false" customHeight="false" outlineLevel="0" collapsed="false">
      <c r="A31" s="9" t="s">
        <v>229</v>
      </c>
      <c r="B31" s="9" t="s">
        <v>230</v>
      </c>
      <c r="C31" s="9" t="s">
        <v>231</v>
      </c>
      <c r="D31" s="9" t="s">
        <v>36</v>
      </c>
      <c r="E31" s="9" t="s">
        <v>37</v>
      </c>
      <c r="F31" s="9" t="s">
        <v>36</v>
      </c>
      <c r="G31" s="9" t="s">
        <v>232</v>
      </c>
      <c r="H31" s="9" t="s">
        <v>109</v>
      </c>
      <c r="I31" s="9" t="s">
        <v>233</v>
      </c>
      <c r="J31" s="9" t="s">
        <v>234</v>
      </c>
      <c r="K31" s="9" t="s">
        <v>235</v>
      </c>
      <c r="L31" s="10"/>
      <c r="M31" s="10"/>
      <c r="N31" s="10"/>
    </row>
    <row r="32" customFormat="false" ht="113.4" hidden="false" customHeight="false" outlineLevel="0" collapsed="false">
      <c r="A32" s="9" t="s">
        <v>229</v>
      </c>
      <c r="B32" s="9" t="s">
        <v>236</v>
      </c>
      <c r="C32" s="9" t="s">
        <v>237</v>
      </c>
      <c r="D32" s="9" t="s">
        <v>115</v>
      </c>
      <c r="E32" s="9" t="s">
        <v>116</v>
      </c>
      <c r="F32" s="9" t="s">
        <v>93</v>
      </c>
      <c r="G32" s="9" t="s">
        <v>238</v>
      </c>
      <c r="H32" s="9" t="s">
        <v>239</v>
      </c>
      <c r="I32" s="9" t="s">
        <v>240</v>
      </c>
      <c r="J32" s="9" t="s">
        <v>241</v>
      </c>
      <c r="K32" s="9" t="s">
        <v>242</v>
      </c>
      <c r="L32" s="10"/>
      <c r="M32" s="10"/>
      <c r="N32" s="10"/>
    </row>
    <row r="33" customFormat="false" ht="68.65" hidden="false" customHeight="false" outlineLevel="0" collapsed="false">
      <c r="A33" s="9" t="s">
        <v>229</v>
      </c>
      <c r="B33" s="9" t="s">
        <v>243</v>
      </c>
      <c r="C33" s="9" t="s">
        <v>244</v>
      </c>
      <c r="D33" s="9" t="s">
        <v>115</v>
      </c>
      <c r="E33" s="9" t="s">
        <v>137</v>
      </c>
      <c r="F33" s="9" t="s">
        <v>93</v>
      </c>
      <c r="G33" s="9" t="s">
        <v>245</v>
      </c>
      <c r="H33" s="9" t="s">
        <v>225</v>
      </c>
      <c r="I33" s="9" t="s">
        <v>246</v>
      </c>
      <c r="J33" s="9" t="s">
        <v>247</v>
      </c>
      <c r="K33" s="9" t="s">
        <v>242</v>
      </c>
      <c r="L33" s="10"/>
      <c r="M33" s="10"/>
      <c r="N33" s="10"/>
    </row>
    <row r="34" customFormat="false" ht="113.4" hidden="false" customHeight="false" outlineLevel="0" collapsed="false">
      <c r="A34" s="9" t="s">
        <v>229</v>
      </c>
      <c r="B34" s="9" t="s">
        <v>248</v>
      </c>
      <c r="C34" s="9" t="s">
        <v>249</v>
      </c>
      <c r="D34" s="9" t="s">
        <v>36</v>
      </c>
      <c r="E34" s="9" t="s">
        <v>116</v>
      </c>
      <c r="F34" s="9" t="s">
        <v>36</v>
      </c>
      <c r="G34" s="9" t="s">
        <v>250</v>
      </c>
      <c r="H34" s="9" t="s">
        <v>251</v>
      </c>
      <c r="I34" s="9" t="s">
        <v>252</v>
      </c>
      <c r="J34" s="9" t="s">
        <v>253</v>
      </c>
      <c r="K34" s="9" t="s">
        <v>235</v>
      </c>
      <c r="L34" s="10"/>
      <c r="M34" s="10"/>
      <c r="N34" s="10"/>
    </row>
    <row r="35" customFormat="false" ht="124.6" hidden="false" customHeight="false" outlineLevel="0" collapsed="false">
      <c r="A35" s="9" t="s">
        <v>229</v>
      </c>
      <c r="B35" s="9" t="s">
        <v>254</v>
      </c>
      <c r="C35" s="9" t="s">
        <v>255</v>
      </c>
      <c r="D35" s="9" t="s">
        <v>36</v>
      </c>
      <c r="E35" s="9" t="s">
        <v>37</v>
      </c>
      <c r="F35" s="9" t="s">
        <v>36</v>
      </c>
      <c r="G35" s="9" t="s">
        <v>256</v>
      </c>
      <c r="H35" s="9" t="s">
        <v>185</v>
      </c>
      <c r="I35" s="9" t="s">
        <v>257</v>
      </c>
      <c r="J35" s="9" t="s">
        <v>258</v>
      </c>
      <c r="K35" s="9" t="s">
        <v>235</v>
      </c>
      <c r="L35" s="10"/>
      <c r="M35" s="10"/>
      <c r="N35" s="10"/>
    </row>
    <row r="36" customFormat="false" ht="124.6" hidden="false" customHeight="false" outlineLevel="0" collapsed="false">
      <c r="A36" s="9" t="s">
        <v>229</v>
      </c>
      <c r="B36" s="9" t="s">
        <v>259</v>
      </c>
      <c r="C36" s="9" t="s">
        <v>260</v>
      </c>
      <c r="D36" s="9" t="s">
        <v>36</v>
      </c>
      <c r="E36" s="9" t="s">
        <v>37</v>
      </c>
      <c r="F36" s="9" t="s">
        <v>36</v>
      </c>
      <c r="G36" s="9" t="s">
        <v>261</v>
      </c>
      <c r="H36" s="9" t="s">
        <v>262</v>
      </c>
      <c r="I36" s="9" t="s">
        <v>263</v>
      </c>
      <c r="J36" s="9" t="s">
        <v>264</v>
      </c>
      <c r="K36" s="9" t="s">
        <v>235</v>
      </c>
      <c r="L36" s="10"/>
      <c r="M36" s="10"/>
      <c r="N36" s="10"/>
    </row>
    <row r="37" customFormat="false" ht="135.8" hidden="false" customHeight="false" outlineLevel="0" collapsed="false">
      <c r="A37" s="9" t="s">
        <v>229</v>
      </c>
      <c r="B37" s="9" t="s">
        <v>265</v>
      </c>
      <c r="C37" s="9" t="s">
        <v>266</v>
      </c>
      <c r="D37" s="9" t="s">
        <v>36</v>
      </c>
      <c r="E37" s="9" t="s">
        <v>37</v>
      </c>
      <c r="F37" s="9" t="s">
        <v>36</v>
      </c>
      <c r="G37" s="9" t="s">
        <v>267</v>
      </c>
      <c r="H37" s="9" t="s">
        <v>125</v>
      </c>
      <c r="I37" s="9" t="s">
        <v>268</v>
      </c>
      <c r="J37" s="9" t="s">
        <v>269</v>
      </c>
      <c r="K37" s="9" t="s">
        <v>235</v>
      </c>
      <c r="L37" s="10"/>
      <c r="M37" s="10"/>
      <c r="N37" s="10"/>
    </row>
    <row r="38" customFormat="false" ht="124.6" hidden="false" customHeight="false" outlineLevel="0" collapsed="false">
      <c r="A38" s="9" t="s">
        <v>229</v>
      </c>
      <c r="B38" s="9" t="s">
        <v>270</v>
      </c>
      <c r="C38" s="9" t="s">
        <v>271</v>
      </c>
      <c r="D38" s="9" t="s">
        <v>36</v>
      </c>
      <c r="E38" s="9" t="s">
        <v>37</v>
      </c>
      <c r="F38" s="9" t="s">
        <v>36</v>
      </c>
      <c r="G38" s="9" t="s">
        <v>272</v>
      </c>
      <c r="H38" s="9" t="s">
        <v>125</v>
      </c>
      <c r="I38" s="9" t="s">
        <v>273</v>
      </c>
      <c r="J38" s="9" t="s">
        <v>274</v>
      </c>
      <c r="K38" s="9" t="s">
        <v>235</v>
      </c>
      <c r="L38" s="10"/>
      <c r="M38" s="10"/>
      <c r="N38" s="10"/>
    </row>
    <row r="39" customFormat="false" ht="91" hidden="false" customHeight="false" outlineLevel="0" collapsed="false">
      <c r="A39" s="9" t="s">
        <v>229</v>
      </c>
      <c r="B39" s="9" t="s">
        <v>275</v>
      </c>
      <c r="C39" s="9" t="s">
        <v>276</v>
      </c>
      <c r="D39" s="9" t="s">
        <v>36</v>
      </c>
      <c r="E39" s="9" t="s">
        <v>116</v>
      </c>
      <c r="F39" s="9" t="s">
        <v>36</v>
      </c>
      <c r="G39" s="9" t="s">
        <v>277</v>
      </c>
      <c r="H39" s="9"/>
      <c r="I39" s="9" t="s">
        <v>278</v>
      </c>
      <c r="J39" s="9" t="s">
        <v>279</v>
      </c>
      <c r="K39" s="9" t="s">
        <v>235</v>
      </c>
      <c r="L39" s="10"/>
      <c r="M39" s="10"/>
      <c r="N39" s="10"/>
    </row>
    <row r="40" customFormat="false" ht="79.85" hidden="false" customHeight="false" outlineLevel="0" collapsed="false">
      <c r="A40" s="9" t="s">
        <v>229</v>
      </c>
      <c r="B40" s="9" t="s">
        <v>280</v>
      </c>
      <c r="C40" s="9" t="s">
        <v>281</v>
      </c>
      <c r="D40" s="9" t="s">
        <v>115</v>
      </c>
      <c r="E40" s="9" t="s">
        <v>137</v>
      </c>
      <c r="F40" s="9" t="s">
        <v>93</v>
      </c>
      <c r="G40" s="9" t="s">
        <v>282</v>
      </c>
      <c r="H40" s="9"/>
      <c r="I40" s="9" t="s">
        <v>283</v>
      </c>
      <c r="J40" s="9" t="s">
        <v>284</v>
      </c>
      <c r="K40" s="9" t="s">
        <v>242</v>
      </c>
      <c r="L40" s="10"/>
      <c r="M40" s="10"/>
      <c r="N40" s="10"/>
    </row>
    <row r="41" customFormat="false" ht="102.2" hidden="false" customHeight="false" outlineLevel="0" collapsed="false">
      <c r="A41" s="9" t="s">
        <v>229</v>
      </c>
      <c r="B41" s="9" t="s">
        <v>285</v>
      </c>
      <c r="C41" s="9" t="s">
        <v>286</v>
      </c>
      <c r="D41" s="9" t="s">
        <v>36</v>
      </c>
      <c r="E41" s="9" t="s">
        <v>37</v>
      </c>
      <c r="F41" s="9" t="s">
        <v>36</v>
      </c>
      <c r="G41" s="9" t="s">
        <v>287</v>
      </c>
      <c r="H41" s="9" t="s">
        <v>125</v>
      </c>
      <c r="I41" s="9" t="s">
        <v>288</v>
      </c>
      <c r="J41" s="9" t="s">
        <v>289</v>
      </c>
      <c r="K41" s="9" t="s">
        <v>235</v>
      </c>
      <c r="L41" s="10"/>
      <c r="M41" s="10"/>
      <c r="N41" s="10"/>
    </row>
    <row r="42" customFormat="false" ht="57.45" hidden="false" customHeight="false" outlineLevel="0" collapsed="false">
      <c r="A42" s="9" t="s">
        <v>229</v>
      </c>
      <c r="B42" s="9" t="s">
        <v>290</v>
      </c>
      <c r="C42" s="9" t="s">
        <v>291</v>
      </c>
      <c r="D42" s="9" t="s">
        <v>36</v>
      </c>
      <c r="E42" s="9" t="s">
        <v>37</v>
      </c>
      <c r="F42" s="9" t="s">
        <v>36</v>
      </c>
      <c r="G42" s="9" t="s">
        <v>292</v>
      </c>
      <c r="H42" s="9" t="s">
        <v>86</v>
      </c>
      <c r="I42" s="9" t="s">
        <v>87</v>
      </c>
      <c r="J42" s="9" t="s">
        <v>293</v>
      </c>
      <c r="K42" s="9" t="s">
        <v>235</v>
      </c>
      <c r="L42" s="10"/>
      <c r="M42" s="10"/>
      <c r="N42" s="10"/>
    </row>
    <row r="43" customFormat="false" ht="35.05" hidden="false" customHeight="false" outlineLevel="0" collapsed="false">
      <c r="A43" s="9" t="s">
        <v>229</v>
      </c>
      <c r="B43" s="9" t="s">
        <v>294</v>
      </c>
      <c r="C43" s="9" t="s">
        <v>295</v>
      </c>
      <c r="D43" s="9" t="s">
        <v>36</v>
      </c>
      <c r="E43" s="9" t="s">
        <v>37</v>
      </c>
      <c r="F43" s="9" t="s">
        <v>36</v>
      </c>
      <c r="G43" s="9" t="s">
        <v>296</v>
      </c>
      <c r="H43" s="9" t="s">
        <v>86</v>
      </c>
      <c r="I43" s="9" t="s">
        <v>87</v>
      </c>
      <c r="J43" s="9" t="s">
        <v>297</v>
      </c>
      <c r="K43" s="9" t="s">
        <v>235</v>
      </c>
      <c r="L43" s="10"/>
      <c r="M43" s="10"/>
      <c r="N43" s="10"/>
    </row>
    <row r="44" customFormat="false" ht="46.25" hidden="false" customHeight="false" outlineLevel="0" collapsed="false">
      <c r="A44" s="9" t="s">
        <v>229</v>
      </c>
      <c r="B44" s="9" t="s">
        <v>298</v>
      </c>
      <c r="C44" s="9" t="s">
        <v>299</v>
      </c>
      <c r="D44" s="9" t="s">
        <v>36</v>
      </c>
      <c r="E44" s="9" t="s">
        <v>37</v>
      </c>
      <c r="F44" s="9" t="s">
        <v>36</v>
      </c>
      <c r="G44" s="9" t="s">
        <v>300</v>
      </c>
      <c r="H44" s="9" t="s">
        <v>86</v>
      </c>
      <c r="I44" s="9" t="s">
        <v>301</v>
      </c>
      <c r="J44" s="9" t="s">
        <v>302</v>
      </c>
      <c r="K44" s="9" t="s">
        <v>235</v>
      </c>
      <c r="L44" s="10"/>
      <c r="M44" s="10"/>
      <c r="N44" s="10"/>
    </row>
    <row r="45" customFormat="false" ht="46.25" hidden="false" customHeight="false" outlineLevel="0" collapsed="false">
      <c r="A45" s="9" t="s">
        <v>229</v>
      </c>
      <c r="B45" s="9" t="s">
        <v>303</v>
      </c>
      <c r="C45" s="9" t="s">
        <v>304</v>
      </c>
      <c r="D45" s="9" t="s">
        <v>36</v>
      </c>
      <c r="E45" s="9" t="s">
        <v>37</v>
      </c>
      <c r="F45" s="9" t="s">
        <v>36</v>
      </c>
      <c r="G45" s="9" t="s">
        <v>305</v>
      </c>
      <c r="H45" s="9" t="s">
        <v>86</v>
      </c>
      <c r="I45" s="9" t="s">
        <v>306</v>
      </c>
      <c r="J45" s="9" t="s">
        <v>307</v>
      </c>
      <c r="K45" s="9" t="s">
        <v>235</v>
      </c>
      <c r="L45" s="10"/>
      <c r="M45" s="10"/>
      <c r="N45" s="10"/>
    </row>
    <row r="46" customFormat="false" ht="35.05" hidden="false" customHeight="false" outlineLevel="0" collapsed="false">
      <c r="A46" s="9" t="s">
        <v>229</v>
      </c>
      <c r="B46" s="9" t="s">
        <v>308</v>
      </c>
      <c r="C46" s="9" t="s">
        <v>309</v>
      </c>
      <c r="D46" s="9" t="s">
        <v>36</v>
      </c>
      <c r="E46" s="9" t="s">
        <v>37</v>
      </c>
      <c r="F46" s="9" t="s">
        <v>36</v>
      </c>
      <c r="G46" s="9" t="s">
        <v>310</v>
      </c>
      <c r="H46" s="9" t="s">
        <v>86</v>
      </c>
      <c r="I46" s="9" t="s">
        <v>87</v>
      </c>
      <c r="J46" s="9" t="s">
        <v>311</v>
      </c>
      <c r="K46" s="9" t="s">
        <v>235</v>
      </c>
      <c r="L46" s="10"/>
      <c r="M46" s="10"/>
      <c r="N46" s="10"/>
    </row>
    <row r="47" customFormat="false" ht="35.05" hidden="false" customHeight="false" outlineLevel="0" collapsed="false">
      <c r="A47" s="9" t="s">
        <v>229</v>
      </c>
      <c r="B47" s="9" t="s">
        <v>312</v>
      </c>
      <c r="C47" s="9" t="s">
        <v>313</v>
      </c>
      <c r="D47" s="9" t="s">
        <v>36</v>
      </c>
      <c r="E47" s="9" t="s">
        <v>37</v>
      </c>
      <c r="F47" s="9" t="s">
        <v>36</v>
      </c>
      <c r="G47" s="9" t="s">
        <v>310</v>
      </c>
      <c r="H47" s="9" t="s">
        <v>86</v>
      </c>
      <c r="I47" s="9" t="s">
        <v>87</v>
      </c>
      <c r="J47" s="9" t="s">
        <v>314</v>
      </c>
      <c r="K47" s="9" t="s">
        <v>235</v>
      </c>
      <c r="L47" s="10"/>
      <c r="M47" s="10"/>
      <c r="N47" s="10"/>
    </row>
    <row r="48" customFormat="false" ht="91" hidden="false" customHeight="false" outlineLevel="0" collapsed="false">
      <c r="A48" s="9" t="s">
        <v>229</v>
      </c>
      <c r="B48" s="9" t="s">
        <v>315</v>
      </c>
      <c r="C48" s="9" t="s">
        <v>316</v>
      </c>
      <c r="D48" s="9" t="s">
        <v>36</v>
      </c>
      <c r="E48" s="9" t="s">
        <v>116</v>
      </c>
      <c r="F48" s="9" t="s">
        <v>36</v>
      </c>
      <c r="G48" s="9" t="s">
        <v>317</v>
      </c>
      <c r="H48" s="9" t="s">
        <v>318</v>
      </c>
      <c r="I48" s="9" t="s">
        <v>319</v>
      </c>
      <c r="J48" s="9" t="s">
        <v>320</v>
      </c>
      <c r="K48" s="9" t="s">
        <v>235</v>
      </c>
      <c r="L48" s="10"/>
      <c r="M48" s="10"/>
      <c r="N48" s="10"/>
    </row>
    <row r="49" customFormat="false" ht="79.85" hidden="false" customHeight="false" outlineLevel="0" collapsed="false">
      <c r="A49" s="9" t="s">
        <v>229</v>
      </c>
      <c r="B49" s="9" t="s">
        <v>321</v>
      </c>
      <c r="C49" s="9" t="s">
        <v>322</v>
      </c>
      <c r="D49" s="9" t="s">
        <v>36</v>
      </c>
      <c r="E49" s="9" t="s">
        <v>37</v>
      </c>
      <c r="F49" s="9" t="s">
        <v>36</v>
      </c>
      <c r="G49" s="9" t="s">
        <v>323</v>
      </c>
      <c r="H49" s="9" t="s">
        <v>318</v>
      </c>
      <c r="I49" s="9" t="s">
        <v>324</v>
      </c>
      <c r="J49" s="9" t="s">
        <v>325</v>
      </c>
      <c r="K49" s="9" t="s">
        <v>235</v>
      </c>
      <c r="L49" s="10"/>
      <c r="M49" s="10"/>
      <c r="N49" s="10"/>
    </row>
    <row r="50" customFormat="false" ht="79.85" hidden="false" customHeight="false" outlineLevel="0" collapsed="false">
      <c r="A50" s="9" t="s">
        <v>229</v>
      </c>
      <c r="B50" s="9" t="s">
        <v>326</v>
      </c>
      <c r="C50" s="9" t="s">
        <v>327</v>
      </c>
      <c r="D50" s="9" t="s">
        <v>115</v>
      </c>
      <c r="E50" s="9" t="s">
        <v>137</v>
      </c>
      <c r="F50" s="9" t="s">
        <v>93</v>
      </c>
      <c r="G50" s="9" t="s">
        <v>328</v>
      </c>
      <c r="H50" s="9" t="s">
        <v>329</v>
      </c>
      <c r="I50" s="9" t="s">
        <v>330</v>
      </c>
      <c r="J50" s="9" t="s">
        <v>331</v>
      </c>
      <c r="K50" s="9" t="s">
        <v>242</v>
      </c>
      <c r="L50" s="10"/>
      <c r="M50" s="10"/>
      <c r="N50" s="10"/>
    </row>
    <row r="51" customFormat="false" ht="79.85" hidden="false" customHeight="false" outlineLevel="0" collapsed="false">
      <c r="A51" s="9" t="s">
        <v>229</v>
      </c>
      <c r="B51" s="9" t="s">
        <v>332</v>
      </c>
      <c r="C51" s="9" t="s">
        <v>333</v>
      </c>
      <c r="D51" s="9" t="s">
        <v>36</v>
      </c>
      <c r="E51" s="9" t="s">
        <v>37</v>
      </c>
      <c r="F51" s="9" t="s">
        <v>36</v>
      </c>
      <c r="G51" s="9" t="s">
        <v>334</v>
      </c>
      <c r="H51" s="9" t="s">
        <v>335</v>
      </c>
      <c r="I51" s="9" t="s">
        <v>336</v>
      </c>
      <c r="J51" s="9" t="s">
        <v>337</v>
      </c>
      <c r="K51" s="9" t="s">
        <v>235</v>
      </c>
      <c r="L51" s="10"/>
      <c r="M51" s="10"/>
      <c r="N51" s="10"/>
    </row>
    <row r="52" customFormat="false" ht="68.65" hidden="false" customHeight="false" outlineLevel="0" collapsed="false">
      <c r="A52" s="9" t="s">
        <v>229</v>
      </c>
      <c r="B52" s="9" t="s">
        <v>338</v>
      </c>
      <c r="C52" s="9" t="s">
        <v>339</v>
      </c>
      <c r="D52" s="9" t="s">
        <v>36</v>
      </c>
      <c r="E52" s="9" t="s">
        <v>37</v>
      </c>
      <c r="F52" s="9" t="s">
        <v>36</v>
      </c>
      <c r="G52" s="9" t="s">
        <v>340</v>
      </c>
      <c r="H52" s="9" t="s">
        <v>109</v>
      </c>
      <c r="I52" s="9" t="s">
        <v>324</v>
      </c>
      <c r="J52" s="9" t="s">
        <v>341</v>
      </c>
      <c r="K52" s="9" t="s">
        <v>235</v>
      </c>
      <c r="L52" s="10"/>
      <c r="M52" s="10"/>
      <c r="N52" s="10"/>
    </row>
  </sheetData>
  <autoFilter ref="A1:N52"/>
  <conditionalFormatting sqref="A2:A52">
    <cfRule type="expression" priority="2" aboveAverage="0" equalAverage="0" bottom="0" percent="0" rank="0" text="" dxfId="8">
      <formula>$A2="A"</formula>
    </cfRule>
    <cfRule type="expression" priority="3" aboveAverage="0" equalAverage="0" bottom="0" percent="0" rank="0" text="" dxfId="9">
      <formula>$A2="B"</formula>
    </cfRule>
    <cfRule type="expression" priority="4" aboveAverage="0" equalAverage="0" bottom="0" percent="0" rank="0" text="" dxfId="10">
      <formula>$A2="C"</formula>
    </cfRule>
    <cfRule type="expression" priority="5" aboveAverage="0" equalAverage="0" bottom="0" percent="0" rank="0" text="" dxfId="11">
      <formula>$A2="D"</formula>
    </cfRule>
  </conditionalFormatting>
  <dataValidations count="2">
    <dataValidation allowBlank="true" errorStyle="stop" operator="between" showDropDown="false" showErrorMessage="false" showInputMessage="false" sqref="L2:L52" type="list">
      <formula1>"Schválit,Opravit,Zamítnout"</formula1>
      <formula2>0</formula2>
    </dataValidation>
    <dataValidation allowBlank="true" errorStyle="stop" operator="between" showDropDown="false" showErrorMessage="false" showInputMessage="false" sqref="M2:M52" type="list">
      <formula1>"verified,verified_changed,needs_check,closed,outside_area"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7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1" t="s">
        <v>342</v>
      </c>
      <c r="B1" s="11" t="s">
        <v>343</v>
      </c>
      <c r="C1" s="11" t="s">
        <v>344</v>
      </c>
      <c r="D1" s="11" t="s">
        <v>345</v>
      </c>
    </row>
    <row r="2" customFormat="false" ht="35.05" hidden="false" customHeight="false" outlineLevel="0" collapsed="false">
      <c r="A2" s="9" t="s">
        <v>346</v>
      </c>
      <c r="B2" s="9" t="s">
        <v>347</v>
      </c>
      <c r="C2" s="9" t="s">
        <v>348</v>
      </c>
      <c r="D2" s="10"/>
    </row>
    <row r="3" customFormat="false" ht="35.05" hidden="false" customHeight="false" outlineLevel="0" collapsed="false">
      <c r="A3" s="9" t="s">
        <v>349</v>
      </c>
      <c r="B3" s="9" t="s">
        <v>350</v>
      </c>
      <c r="C3" s="9" t="s">
        <v>351</v>
      </c>
      <c r="D3" s="10"/>
    </row>
    <row r="4" customFormat="false" ht="23.85" hidden="false" customHeight="false" outlineLevel="0" collapsed="false">
      <c r="A4" s="9" t="s">
        <v>352</v>
      </c>
      <c r="B4" s="9" t="s">
        <v>353</v>
      </c>
      <c r="C4" s="9" t="s">
        <v>354</v>
      </c>
      <c r="D4" s="10"/>
    </row>
    <row r="5" customFormat="false" ht="23.85" hidden="false" customHeight="false" outlineLevel="0" collapsed="false">
      <c r="A5" s="9" t="s">
        <v>355</v>
      </c>
      <c r="B5" s="9" t="s">
        <v>356</v>
      </c>
      <c r="C5" s="9" t="s">
        <v>357</v>
      </c>
      <c r="D5" s="10"/>
    </row>
  </sheetData>
  <dataValidations count="1">
    <dataValidation allowBlank="true" errorStyle="stop" operator="between" showDropDown="false" showErrorMessage="false" showInputMessage="false" sqref="D2:D5" type="list">
      <formula1>"ano,ne"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2026-10-02T08:22:59Z</dcterms:created>
  <dc:creator>openpyxl</dc:creator>
  <dc:description/>
  <dc:language>en-US</dc:language>
  <cp:lastModifiedBy/>
  <dcterms:modified xsi:type="dcterms:W3CDTF">2026-10-02T08:22:59Z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